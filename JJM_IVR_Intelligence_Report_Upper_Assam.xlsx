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Dashboard" sheetId="1" state="visible" r:id="rId3"/>
    <sheet name="Water Supply &amp; Outcomes" sheetId="2" state="visible" r:id="rId4"/>
    <sheet name="Inference &amp; Intelligence" sheetId="3" state="visible" r:id="rId5"/>
    <sheet name="Bot Performance &amp; Fixes" sheetId="4" state="visible" r:id="rId6"/>
    <sheet name="Strategic Recommendations" sheetId="5" state="visible" r:id="rId7"/>
    <sheet name="Charts &amp; Data" sheetId="6" state="visible" r:id="rId8"/>
    <sheet name="Methodology &amp; Not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<sst xmlns="http://schemas.openxmlformats.org/spreadsheetml/2006/main" count="662" uniqueCount="581">
  <si>
    <t xml:space="preserve">Jal Jeevan Mission — IVR Survey Intelligence Report</t>
  </si>
  <si>
    <t xml:space="preserve">Upper Assam Test Batch  |  Water Supply Citizen Feedback  |  AI-Assisted Call Analysis  |  March 2026</t>
  </si>
  <si>
    <t xml:space="preserve">  CALL REACH &amp; ENGAGEMENT FUNNEL</t>
  </si>
  <si>
    <t xml:space="preserve">1,05,512</t>
  </si>
  <si>
    <t xml:space="preserve">8,896</t>
  </si>
  <si>
    <t xml:space="preserve">2,780</t>
  </si>
  <si>
    <t xml:space="preserve">69.2%</t>
  </si>
  <si>
    <t xml:space="preserve">905</t>
  </si>
  <si>
    <t xml:space="preserve">Total Citizens Targeted</t>
  </si>
  <si>
    <t xml:space="preserve">Calls Connected</t>
  </si>
  <si>
    <t xml:space="preserve">Usable Responses</t>
  </si>
  <si>
    <t xml:space="preserve">Consent Rate</t>
  </si>
  <si>
    <t xml:space="preserve">In-Depth Calls</t>
  </si>
  <si>
    <t xml:space="preserve">Full contact list</t>
  </si>
  <si>
    <t xml:space="preserve">8.4% of total</t>
  </si>
  <si>
    <t xml:space="preserve">≥60 sec calls</t>
  </si>
  <si>
    <t xml:space="preserve">Among usable calls</t>
  </si>
  <si>
    <t xml:space="preserve">≥150 sec — rich data</t>
  </si>
  <si>
    <t xml:space="preserve">  SURVEY PIPELINE — FROM CONTACTS TO INSIGHT</t>
  </si>
  <si>
    <t xml:space="preserve">Total Contacts</t>
  </si>
  <si>
    <t xml:space="preserve">105,512</t>
  </si>
  <si>
    <t xml:space="preserve">All numbers in database</t>
  </si>
  <si>
    <t xml:space="preserve">100.0%</t>
  </si>
  <si>
    <t xml:space="preserve">Calls Answered</t>
  </si>
  <si>
    <t xml:space="preserve">Bot connected with a citizen</t>
  </si>
  <si>
    <t xml:space="preserve">8.4%</t>
  </si>
  <si>
    <t xml:space="preserve">≥60 sec (Usable)</t>
  </si>
  <si>
    <t xml:space="preserve">Long enough for meaningful data</t>
  </si>
  <si>
    <t xml:space="preserve">31.2%</t>
  </si>
  <si>
    <t xml:space="preserve">Consent Given</t>
  </si>
  <si>
    <t xml:space="preserve">1,924</t>
  </si>
  <si>
    <t xml:space="preserve">Citizen agreed to participate</t>
  </si>
  <si>
    <t xml:space="preserve">Data Rich (≥150 sec)</t>
  </si>
  <si>
    <t xml:space="preserve">Complete survey likely</t>
  </si>
  <si>
    <t xml:space="preserve">10.2%</t>
  </si>
  <si>
    <t xml:space="preserve">Full Clarity Score</t>
  </si>
  <si>
    <t xml:space="preserve">637</t>
  </si>
  <si>
    <t xml:space="preserve">All key fields extracted</t>
  </si>
  <si>
    <t xml:space="preserve">7.2%</t>
  </si>
  <si>
    <t xml:space="preserve">  WATER SUPPLY STATUS — CITIZEN REPORTED (Usable Calls, n=2,780)</t>
  </si>
  <si>
    <t xml:space="preserve">22.3%</t>
  </si>
  <si>
    <t xml:space="preserve">40.9%</t>
  </si>
  <si>
    <t xml:space="preserve">92.2%</t>
  </si>
  <si>
    <t xml:space="preserve">17.8%</t>
  </si>
  <si>
    <t xml:space="preserve">23.7%</t>
  </si>
  <si>
    <t xml:space="preserve">Daily Supply
Confirmed ✓</t>
  </si>
  <si>
    <t xml:space="preserve">Supply Irregular
or Absent</t>
  </si>
  <si>
    <t xml:space="preserve">Village-Wide
Impact</t>
  </si>
  <si>
    <t xml:space="preserve">Citizens
Satisfied</t>
  </si>
  <si>
    <t xml:space="preserve">Dissatisfied
or Neutral</t>
  </si>
  <si>
    <t xml:space="preserve">619 callers</t>
  </si>
  <si>
    <t xml:space="preserve">1,136 callers</t>
  </si>
  <si>
    <t xml:space="preserve">Of irregular cases</t>
  </si>
  <si>
    <t xml:space="preserve">495 callers</t>
  </si>
  <si>
    <t xml:space="preserve">442 callers</t>
  </si>
  <si>
    <t xml:space="preserve">  KEY INFERENCES — WHAT THE DATA IS TELLING US</t>
  </si>
  <si>
    <t xml:space="preserve">  ALERT  </t>
  </si>
  <si>
    <t xml:space="preserve">78% of dissatisfied callers reported NO daily water supply — water regularity is the primary driver of citizen dissatisfaction.</t>
  </si>
  <si>
    <t xml:space="preserve">  INSIGHT  </t>
  </si>
  <si>
    <t xml:space="preserve">Dissatisfied citizens stay on call 34 seconds longer (215s vs 181s) — they have more to say. Long calls are a proxy for complaint priority.</t>
  </si>
  <si>
    <t xml:space="preserve">69.7% of satisfied citizens confirm daily supply — proving that when JJM delivers water consistently, satisfaction follows.</t>
  </si>
  <si>
    <t xml:space="preserve">92% of supply failures are village-wide (not individual connections) — pointing to systemic infrastructure failures, not household issues.</t>
  </si>
  <si>
    <t xml:space="preserve">  FINDING  </t>
  </si>
  <si>
    <t xml:space="preserve">68.2% of calls lasting ≥150 seconds yield complete data — these are the gold standard for decision-making.</t>
  </si>
  <si>
    <t xml:space="preserve">Electricity/pump failure (143 cases) and pipe damage (147 cases) are the two largest infrastructure failure causes — requiring DISCOM &amp; PWD coordination.</t>
  </si>
  <si>
    <t xml:space="preserve">88 billing-related queries detected — citizens are paying for water they don't receive. A structured accountability mechanism is absent.</t>
  </si>
  <si>
    <t xml:space="preserve">30+ non-Assamese speaking citizens could not participate — Hindi, Tamil, Bengali, Nepali speakers are systematically excluded from feedback.</t>
  </si>
  <si>
    <t xml:space="preserve">Water Supply Outcomes — Citizen Experience Analysis</t>
  </si>
  <si>
    <t xml:space="preserve">  SUPPLY DELIVERY STATUS — USABLE CALLS (n=2,780)</t>
  </si>
  <si>
    <t xml:space="preserve">Status</t>
  </si>
  <si>
    <t xml:space="preserve">Citizen Count</t>
  </si>
  <si>
    <t xml:space="preserve">% of Usable</t>
  </si>
  <si>
    <t xml:space="preserve">% of Reached</t>
  </si>
  <si>
    <t xml:space="preserve">What This Means</t>
  </si>
  <si>
    <t xml:space="preserve">Inference</t>
  </si>
  <si>
    <t xml:space="preserve">Action Required</t>
  </si>
  <si>
    <t xml:space="preserve">Daily Supply Confirmed ✓</t>
  </si>
  <si>
    <t xml:space="preserve">7.0%</t>
  </si>
  <si>
    <t xml:space="preserve">Citizen receives tap water every day — JJM scheme functioning as designed.</t>
  </si>
  <si>
    <t xml:space="preserve">These areas represent proof of concept. Document as success cases for replication.</t>
  </si>
  <si>
    <t xml:space="preserve">Irregular / No Supply ✗</t>
  </si>
  <si>
    <t xml:space="preserve">12.8%</t>
  </si>
  <si>
    <t xml:space="preserve">More citizens report NO daily supply than those who receive it — a majority failure.</t>
  </si>
  <si>
    <t xml:space="preserve">Irregular supply is the norm, not the exception. Systemic intervention urgently needed.</t>
  </si>
  <si>
    <t xml:space="preserve">Supply Status Unknown</t>
  </si>
  <si>
    <t xml:space="preserve">35.2%</t>
  </si>
  <si>
    <t xml:space="preserve">11.0%</t>
  </si>
  <si>
    <t xml:space="preserve">Bot could not determine — hedged answers not probed, or call ended before Q1.</t>
  </si>
  <si>
    <t xml:space="preserve">35% data gap inflates unknowns. Fix bot's clarification logic to recover this data.</t>
  </si>
  <si>
    <t xml:space="preserve">  DAYS WITHOUT WATER — AMONG 1,136 IRREGULAR SUPPLY CITIZENS</t>
  </si>
  <si>
    <t xml:space="preserve">Days Without Water</t>
  </si>
  <si>
    <t xml:space="preserve">% of Irregular</t>
  </si>
  <si>
    <t xml:space="preserve">Severity</t>
  </si>
  <si>
    <t xml:space="preserve">Inferred Cause</t>
  </si>
  <si>
    <t xml:space="preserve">Ministry Action</t>
  </si>
  <si>
    <t xml:space="preserve">1 Day</t>
  </si>
  <si>
    <t xml:space="preserve">2.2%</t>
  </si>
  <si>
    <t xml:space="preserve">Low</t>
  </si>
  <si>
    <t xml:space="preserve">Typically electricity/pump trip — resolved within 24 hrs</t>
  </si>
  <si>
    <t xml:space="preserve">Routine monitoring sufficient</t>
  </si>
  <si>
    <t xml:space="preserve">2 Days</t>
  </si>
  <si>
    <t xml:space="preserve">Moderate</t>
  </si>
  <si>
    <t xml:space="preserve">Short pump outage or pipe repair — 2-day disruption cycle</t>
  </si>
  <si>
    <t xml:space="preserve">Flag for field inspection if recurring</t>
  </si>
  <si>
    <t xml:space="preserve">3 Days</t>
  </si>
  <si>
    <t xml:space="preserve">4.5%</t>
  </si>
  <si>
    <t xml:space="preserve">Likely pump failure or valve issue at distribution level</t>
  </si>
  <si>
    <t xml:space="preserve">Escalate to district water dept.</t>
  </si>
  <si>
    <t xml:space="preserve">4 Days</t>
  </si>
  <si>
    <t xml:space="preserve">2.6%</t>
  </si>
  <si>
    <t xml:space="preserve">High</t>
  </si>
  <si>
    <t xml:space="preserve">Infrastructure fault or burst pipe — multi-day disruption</t>
  </si>
  <si>
    <t xml:space="preserve">Immediate repair order + alternate supply</t>
  </si>
  <si>
    <t xml:space="preserve">5 Days</t>
  </si>
  <si>
    <t xml:space="preserve">1.8%</t>
  </si>
  <si>
    <t xml:space="preserve">Severe failure — electricity grid issue or major pipe burst</t>
  </si>
  <si>
    <t xml:space="preserve">Emergency response + DM/DC intimation</t>
  </si>
  <si>
    <t xml:space="preserve">6 Days</t>
  </si>
  <si>
    <t xml:space="preserve">0.4%</t>
  </si>
  <si>
    <t xml:space="preserve">Critical</t>
  </si>
  <si>
    <t xml:space="preserve">Near-total supply failure for the week</t>
  </si>
  <si>
    <t xml:space="preserve">Crisis protocol — tanker deployment</t>
  </si>
  <si>
    <t xml:space="preserve">7 Days (Max Field)</t>
  </si>
  <si>
    <t xml:space="preserve">Full week without water — some calls describe months/years of absence</t>
  </si>
  <si>
    <t xml:space="preserve">Priority escalation to State JJM authority</t>
  </si>
  <si>
    <t xml:space="preserve">UNKNOWN — Bot Missed</t>
  </si>
  <si>
    <t xml:space="preserve">74.2%</t>
  </si>
  <si>
    <t xml:space="preserve">Data Gap</t>
  </si>
  <si>
    <t xml:space="preserve">Callers stated specific days; NLP captured in summary but field never populated</t>
  </si>
  <si>
    <t xml:space="preserve">Fix extraction pipeline — 843 datapoints recoverable</t>
  </si>
  <si>
    <t xml:space="preserve">  CITIZEN COMPLAINT THEMES — INFERRED FROM CALL SUMMARIES &amp; FEEDBACK</t>
  </si>
  <si>
    <t xml:space="preserve">Theme</t>
  </si>
  <si>
    <t xml:space="preserve">Call Count</t>
  </si>
  <si>
    <t xml:space="preserve">Responsible Dept.</t>
  </si>
  <si>
    <t xml:space="preserve">Inference &amp; Recommendation</t>
  </si>
  <si>
    <t xml:space="preserve">Pipe / Pipeline Damage</t>
  </si>
  <si>
    <t xml:space="preserve">5.3%</t>
  </si>
  <si>
    <t xml:space="preserve">PWD / PHED</t>
  </si>
  <si>
    <t xml:space="preserve">Road construction activity is bursting underground pipes. Requires coordination between PWD road projects and PHED water network maps before digging.</t>
  </si>
  <si>
    <t xml:space="preserve">Electricity / Pump Failure</t>
  </si>
  <si>
    <t xml:space="preserve">5.1%</t>
  </si>
  <si>
    <t xml:space="preserve">DISCOM / PHED</t>
  </si>
  <si>
    <t xml:space="preserve">Power outages directly halt water pumping. JJM pumps need dedicated feeder lines or solar backup to be independent of grid failures.</t>
  </si>
  <si>
    <t xml:space="preserve">Water Quality — Filter / Dirty</t>
  </si>
  <si>
    <t xml:space="preserve">3.8%</t>
  </si>
  <si>
    <t xml:space="preserve">PHED / Operator</t>
  </si>
  <si>
    <t xml:space="preserve">Filter maintenance is not being followed. Muddy, red, or iron-tainted water suggests O&amp;M lapses. Requires scheduled inspection regime.</t>
  </si>
  <si>
    <t xml:space="preserve">Billing / Payment Complaints</t>
  </si>
  <si>
    <t xml:space="preserve">3.2%</t>
  </si>
  <si>
    <t xml:space="preserve">District Authority</t>
  </si>
  <si>
    <t xml:space="preserve">Citizens are paying connection fees but not receiving water. This creates legal liability and trust erosion. Needs refund/credit mechanism.</t>
  </si>
  <si>
    <t xml:space="preserve">Governance — Staff / Jalmitra</t>
  </si>
  <si>
    <t xml:space="preserve">0.5%</t>
  </si>
  <si>
    <t xml:space="preserve">DWSM / District</t>
  </si>
  <si>
    <t xml:space="preserve">Jalmitra supplying water only to own household, unpaid caretakers stopping work. Accountability gap in last-mile governance.</t>
  </si>
  <si>
    <t xml:space="preserve">Satisfied — No Issues</t>
  </si>
  <si>
    <t xml:space="preserve">9.4%</t>
  </si>
  <si>
    <t xml:space="preserve">—</t>
  </si>
  <si>
    <t xml:space="preserve">Positive cases: JJM working. Capture these as success stories with geography for policy communication.</t>
  </si>
  <si>
    <t xml:space="preserve">Inference &amp; Intelligence — What the Data Is Telling Us Beyond the Numbers</t>
  </si>
  <si>
    <t xml:space="preserve">  CAUSAL ANALYSIS — SATISFACTION DRIVERS</t>
  </si>
  <si>
    <t xml:space="preserve">Finding</t>
  </si>
  <si>
    <t xml:space="preserve">Evidence</t>
  </si>
  <si>
    <t xml:space="preserve">Scale</t>
  </si>
  <si>
    <t xml:space="preserve">Confidence</t>
  </si>
  <si>
    <t xml:space="preserve">Strategic Implication</t>
  </si>
  <si>
    <t xml:space="preserve">Recommended Action</t>
  </si>
  <si>
    <t xml:space="preserve">Daily supply is #1 driver of satisfaction</t>
  </si>
  <si>
    <t xml:space="preserve">69.7% satisfied callers get daily water; 78.2% dissatisfied do not</t>
  </si>
  <si>
    <t xml:space="preserve">1,924 calls</t>
  </si>
  <si>
    <t xml:space="preserve">Very High</t>
  </si>
  <si>
    <t xml:space="preserve">Guaranteeing daily supply will drive satisfaction gains without any other change</t>
  </si>
  <si>
    <t xml:space="preserve">Target 95% daily supply coverage — operational continuity above all else</t>
  </si>
  <si>
    <t xml:space="preserve">Dissatisfied callers stay 34 seconds longer on call</t>
  </si>
  <si>
    <t xml:space="preserve">215s avg for dissatisfied vs 181s for satisfied — statistically significant</t>
  </si>
  <si>
    <t xml:space="preserve">2,780 calls</t>
  </si>
  <si>
    <t xml:space="preserve">Call duration is a real-time proxy for complaint severity</t>
  </si>
  <si>
    <t xml:space="preserve">Flag all calls &gt;180s with dissatisfied/unknown for 48-hour field callback</t>
  </si>
  <si>
    <t xml:space="preserve">92% of supply failures are village-wide, not household</t>
  </si>
  <si>
    <t xml:space="preserve">Only 7.8% of supply failures are at household level</t>
  </si>
  <si>
    <t xml:space="preserve">1,136 calls</t>
  </si>
  <si>
    <t xml:space="preserve">Individual household troubleshooting is the wrong approach — village infrastructure is broken</t>
  </si>
  <si>
    <t xml:space="preserve">Audit pump stations and feeder mains at village cluster level urgently</t>
  </si>
  <si>
    <t xml:space="preserve">Long calls yield full data 68% of the time</t>
  </si>
  <si>
    <t xml:space="preserve">617 of 905 calls ≥150s have all key fields extracted</t>
  </si>
  <si>
    <t xml:space="preserve">905 calls</t>
  </si>
  <si>
    <t xml:space="preserve">Duration is a data quality indicator, not just complaint intensity</t>
  </si>
  <si>
    <t xml:space="preserve">Use 150s threshold as quality filter for all policy-grade data</t>
  </si>
  <si>
    <t xml:space="preserve">Electricity &amp; pipe damage are co-equal causes</t>
  </si>
  <si>
    <t xml:space="preserve">Electricity: 143 cases. Pipe damage: 147. Nearly identical at scale</t>
  </si>
  <si>
    <t xml:space="preserve">Two parallel failures require two parallel interventions — cannot fix one without the other</t>
  </si>
  <si>
    <t xml:space="preserve">Joint DISCOM-PHED action plan — solar backup + pipe surveys simultaneously</t>
  </si>
  <si>
    <t xml:space="preserve">88 billing complaints invisible in current data</t>
  </si>
  <si>
    <t xml:space="preserve">Citizens paying fees but not receiving water — captured only in free text</t>
  </si>
  <si>
    <t xml:space="preserve">88 calls</t>
  </si>
  <si>
    <t xml:space="preserve">Medium</t>
  </si>
  <si>
    <t xml:space="preserve">Financial accountability gap creates legal liability and erodes JJM trust</t>
  </si>
  <si>
    <t xml:space="preserve">Add billing_complaint field; establish refund/credit mechanism urgently</t>
  </si>
  <si>
    <t xml:space="preserve">30+ non-Assamese speakers systematically excluded</t>
  </si>
  <si>
    <t xml:space="preserve">Hindi, Tamil, Bengali, Nepali detected — callers could not participate</t>
  </si>
  <si>
    <t xml:space="preserve">30+ calls</t>
  </si>
  <si>
    <t xml:space="preserve">Tea garden workers, migrants, settlers absent from JJM feedback data</t>
  </si>
  <si>
    <t xml:space="preserve">Integrate Bhasini multilingual API; separate Hindi/Bengali outreach campaigns</t>
  </si>
  <si>
    <t xml:space="preserve">Only 22.9% of calls reach high data quality (80+ clarity)</t>
  </si>
  <si>
    <t xml:space="preserve">637 of 2,780 calls yield rich, complete data</t>
  </si>
  <si>
    <t xml:space="preserve">77% of calls produce partial signals — policy decisions built on incomplete data</t>
  </si>
  <si>
    <t xml:space="preserve">Bot redesign could double yield without increasing call volume</t>
  </si>
  <si>
    <t xml:space="preserve">  PREDICTIVE SIGNALS — ESCALATION EARLY WARNINGS</t>
  </si>
  <si>
    <t xml:space="preserve">Signal</t>
  </si>
  <si>
    <t xml:space="preserve">Threshold</t>
  </si>
  <si>
    <t xml:space="preserve">Cases</t>
  </si>
  <si>
    <t xml:space="preserve">Risk Level</t>
  </si>
  <si>
    <t xml:space="preserve">What It Predicts</t>
  </si>
  <si>
    <t xml:space="preserve">Escalation Path</t>
  </si>
  <si>
    <t xml:space="preserve">Long call + village-wide scope</t>
  </si>
  <si>
    <t xml:space="preserve">≥150 sec + village_wide scope</t>
  </si>
  <si>
    <t xml:space="preserve">377 cases</t>
  </si>
  <si>
    <t xml:space="preserve">HIGH</t>
  </si>
  <si>
    <t xml:space="preserve">78% dissatisfied or neutral — reliable complaint proxy</t>
  </si>
  <si>
    <t xml:space="preserve">Auto-flag for field officer review within 72 hours</t>
  </si>
  <si>
    <t xml:space="preserve">Days without water = 7 (field maximum)</t>
  </si>
  <si>
    <t xml:space="preserve">days_without_water = 7 days</t>
  </si>
  <si>
    <t xml:space="preserve">82 cases</t>
  </si>
  <si>
    <t xml:space="preserve">CRITICAL</t>
  </si>
  <si>
    <t xml:space="preserve">Many represent weeks/months absence — field max understates severity</t>
  </si>
  <si>
    <t xml:space="preserve">Alert Block Development Officer. Immediate supply restoration check.</t>
  </si>
  <si>
    <t xml:space="preserve">Governance keywords in call summary</t>
  </si>
  <si>
    <t xml:space="preserve">legal/misuse/funds/jalmitra in text</t>
  </si>
  <si>
    <t xml:space="preserve">~15 cases</t>
  </si>
  <si>
    <t xml:space="preserve">Reputational risk for JJM. Formal complaints may follow unresolved cases.</t>
  </si>
  <si>
    <t xml:space="preserve">Route to District Collector / vigilance. Document and respond formally.</t>
  </si>
  <si>
    <t xml:space="preserve">Call ≥200 sec but satisfaction unknown</t>
  </si>
  <si>
    <t xml:space="preserve">≥200 sec + satisfaction=unknown</t>
  </si>
  <si>
    <t xml:space="preserve">~180 cases</t>
  </si>
  <si>
    <t xml:space="preserve">MEDIUM</t>
  </si>
  <si>
    <t xml:space="preserve">Long engaged call — bot failed at final question. High-value data lost.</t>
  </si>
  <si>
    <t xml:space="preserve">Manual review. Priority for re-contact and bot fix deployment.</t>
  </si>
  <si>
    <t xml:space="preserve">Busy caller gave specific callback time</t>
  </si>
  <si>
    <t xml:space="preserve">callback_requested + specific time</t>
  </si>
  <si>
    <t xml:space="preserve">143 cases</t>
  </si>
  <si>
    <t xml:space="preserve">OPPORTUNITY</t>
  </si>
  <si>
    <t xml:space="preserve">These citizens WANT to engage — not refusals. Missed = missed data.</t>
  </si>
  <si>
    <t xml:space="preserve">Schedule re-call at stated time. Evening (5-8 PM) is most requested.</t>
  </si>
  <si>
    <t xml:space="preserve">Non-Assamese language detected in call</t>
  </si>
  <si>
    <t xml:space="preserve">Language preference noted in summary</t>
  </si>
  <si>
    <t xml:space="preserve">30+ cases</t>
  </si>
  <si>
    <t xml:space="preserve">Whole communities unreachable — tea garden districts may show different JJM reality</t>
  </si>
  <si>
    <t xml:space="preserve">Bhasini integration + Hindi/Bengali specific call batches.</t>
  </si>
  <si>
    <t xml:space="preserve">  SURVEY QUALITY INDEX — DATA RELIABILITY FOR POLICY USE</t>
  </si>
  <si>
    <t xml:space="preserve">Quality Tier</t>
  </si>
  <si>
    <t xml:space="preserve">Volume</t>
  </si>
  <si>
    <t xml:space="preserve">Description</t>
  </si>
  <si>
    <t xml:space="preserve">Policy Use</t>
  </si>
  <si>
    <t xml:space="preserve">Survey Quality Index (SQI)</t>
  </si>
  <si>
    <t xml:space="preserve">0.267 / 1.0</t>
  </si>
  <si>
    <t xml:space="preserve">Composite: consent rate × mean clarity score. Benchmark: 0.60+. Bot fixes can raise to 0.45+ in next batch.</t>
  </si>
  <si>
    <t xml:space="preserve">Needs Improvement</t>
  </si>
  <si>
    <t xml:space="preserve">Directional use only — not sufficient for KPI target-setting</t>
  </si>
  <si>
    <t xml:space="preserve">Tier A — Deep calls ≥150 sec + consent</t>
  </si>
  <si>
    <t xml:space="preserve">617 calls (22.2%)</t>
  </si>
  <si>
    <t xml:space="preserve">Complete survey likely. All key fields extracted. Gold standard data.</t>
  </si>
  <si>
    <t xml:space="preserve">Safe for district-level supply gap mapping and policy decisions</t>
  </si>
  <si>
    <t xml:space="preserve">Tier B — Usable 60-150 sec + consent</t>
  </si>
  <si>
    <t xml:space="preserve">1,307 calls (47.0%)</t>
  </si>
  <si>
    <t xml:space="preserve">Core water questions answered. Partial satisfaction data available.</t>
  </si>
  <si>
    <t xml:space="preserve">Use for trend analysis and complaint theme mapping; not precision KPIs</t>
  </si>
  <si>
    <t xml:space="preserve">Tier C — Short &lt;60 sec or no consent</t>
  </si>
  <si>
    <t xml:space="preserve">5,972 calls</t>
  </si>
  <si>
    <t xml:space="preserve">Insufficient survey data. Use only for reach and response metrics.</t>
  </si>
  <si>
    <t xml:space="preserve">Exclude from water supply analysis. Include in operational reporting only</t>
  </si>
  <si>
    <t xml:space="preserve">Extraction accuracy when evidence found</t>
  </si>
  <si>
    <t xml:space="preserve">94-98% across fields</t>
  </si>
  <si>
    <t xml:space="preserve">Bot fills structured fields correctly when it finds evidence — architecture is sound.</t>
  </si>
  <si>
    <t xml:space="preserve">Strong</t>
  </si>
  <si>
    <t xml:space="preserve">Bot conversation design is the weak link, not the extraction logic</t>
  </si>
  <si>
    <t xml:space="preserve">Bot Performance Analysis — Extraction Quality, Failures &amp; Recommended Fixes</t>
  </si>
  <si>
    <t xml:space="preserve">  FIELD EXTRACTION ACCURACY — WHERE THE BOT SUCCEEDS AND FAILS (n=2,780 usable calls)</t>
  </si>
  <si>
    <t xml:space="preserve">Survey Field</t>
  </si>
  <si>
    <t xml:space="preserve">Extracted Count</t>
  </si>
  <si>
    <t xml:space="preserve">Extraction Rate</t>
  </si>
  <si>
    <t xml:space="preserve">Root Cause</t>
  </si>
  <si>
    <t xml:space="preserve">Fix Required</t>
  </si>
  <si>
    <t xml:space="preserve">Consent (yes/no)</t>
  </si>
  <si>
    <t xml:space="preserve">97.6%</t>
  </si>
  <si>
    <t xml:space="preserve">Excellent</t>
  </si>
  <si>
    <t xml:space="preserve">Bot handles consent well across all call types</t>
  </si>
  <si>
    <t xml:space="preserve">None — maintain as is</t>
  </si>
  <si>
    <t xml:space="preserve">Water Received Daily (yes/no)</t>
  </si>
  <si>
    <t xml:space="preserve">63.1%</t>
  </si>
  <si>
    <r>
      <rPr>
        <sz val="9"/>
        <color rgb="FF1E293B"/>
        <rFont val="Calibri"/>
        <family val="0"/>
        <charset val="1"/>
      </rPr>
      <t xml:space="preserve">Hedged answers (sometimes/</t>
    </r>
    <r>
      <rPr>
        <sz val="9"/>
        <color rgb="FF1E293B"/>
        <rFont val="FreeSans"/>
        <family val="2"/>
      </rPr>
      <t xml:space="preserve">কেতিয়াবা</t>
    </r>
    <r>
      <rPr>
        <sz val="9"/>
        <color rgb="FF1E293B"/>
        <rFont val="Calibri"/>
        <family val="0"/>
        <charset val="1"/>
      </rPr>
      <t xml:space="preserve">) accepted without follow-up probe</t>
    </r>
  </si>
  <si>
    <t xml:space="preserve">Add clarification probe: 'How many days last week?'</t>
  </si>
  <si>
    <t xml:space="preserve">Supply Issue Scope</t>
  </si>
  <si>
    <t xml:space="preserve">33.4%</t>
  </si>
  <si>
    <t xml:space="preserve">Poor</t>
  </si>
  <si>
    <t xml:space="preserve">Bot stops after water_received_daily=no; scope question skipped</t>
  </si>
  <si>
    <t xml:space="preserve">Ensure scope question asked in all irregular supply cases</t>
  </si>
  <si>
    <t xml:space="preserve">Overall Satisfaction</t>
  </si>
  <si>
    <t xml:space="preserve">33.7%</t>
  </si>
  <si>
    <t xml:space="preserve">Bot stops mid-survey; satisfaction question not reached; inference missing</t>
  </si>
  <si>
    <t xml:space="preserve">Fix decision tree; add contextual inference rules</t>
  </si>
  <si>
    <t xml:space="preserve">Quality Satisfied (yes/no)</t>
  </si>
  <si>
    <t xml:space="preserve">34.6%</t>
  </si>
  <si>
    <t xml:space="preserve">Decision tree exits quality branch after wrd=no confirmed</t>
  </si>
  <si>
    <t xml:space="preserve">Ask quality question regardless of supply regularity status</t>
  </si>
  <si>
    <t xml:space="preserve">Quantity Satisfied (yes/no)</t>
  </si>
  <si>
    <t xml:space="preserve">36.8%</t>
  </si>
  <si>
    <t xml:space="preserve">Same as quality — decision tree terminates too early</t>
  </si>
  <si>
    <t xml:space="preserve">Ask quantity question regardless of supply regularity status</t>
  </si>
  <si>
    <t xml:space="preserve">Days Without Water (1-7)</t>
  </si>
  <si>
    <t xml:space="preserve">10.5%</t>
  </si>
  <si>
    <t xml:space="preserve">NLP extracts number in summary text but pipeline never writes to field — wiring bug</t>
  </si>
  <si>
    <r>
      <rPr>
        <sz val="9"/>
        <color rgb="FF1E293B"/>
        <rFont val="Calibri"/>
        <family val="0"/>
        <charset val="1"/>
      </rPr>
      <t xml:space="preserve">Fix Assamese numeric extraction: X </t>
    </r>
    <r>
      <rPr>
        <sz val="9"/>
        <color rgb="FF1E293B"/>
        <rFont val="FreeSans"/>
        <family val="2"/>
      </rPr>
      <t xml:space="preserve">দিন</t>
    </r>
    <r>
      <rPr>
        <sz val="9"/>
        <color rgb="FF1E293B"/>
        <rFont val="Calibri"/>
        <family val="0"/>
        <charset val="1"/>
      </rPr>
      <t xml:space="preserve">, X </t>
    </r>
    <r>
      <rPr>
        <sz val="9"/>
        <color rgb="FF1E293B"/>
        <rFont val="FreeSans"/>
        <family val="2"/>
      </rPr>
      <t xml:space="preserve">মাহ</t>
    </r>
    <r>
      <rPr>
        <sz val="9"/>
        <color rgb="FF1E293B"/>
        <rFont val="Calibri"/>
        <family val="0"/>
        <charset val="1"/>
      </rPr>
      <t xml:space="preserve">, X </t>
    </r>
    <r>
      <rPr>
        <sz val="9"/>
        <color rgb="FF1E293B"/>
        <rFont val="FreeSans"/>
        <family val="2"/>
      </rPr>
      <t xml:space="preserve">বছৰ → </t>
    </r>
    <r>
      <rPr>
        <sz val="9"/>
        <color rgb="FF1E293B"/>
        <rFont val="Calibri"/>
        <family val="0"/>
        <charset val="1"/>
      </rPr>
      <t xml:space="preserve">1-day fix</t>
    </r>
  </si>
  <si>
    <t xml:space="preserve">  TOP BOT ISSUES — PRIORITISED FOR MINISTER / PROGRAMME REVIEW</t>
  </si>
  <si>
    <t xml:space="preserve">Issue</t>
  </si>
  <si>
    <t xml:space="preserve">Priority</t>
  </si>
  <si>
    <t xml:space="preserve">Scale of Impact</t>
  </si>
  <si>
    <t xml:space="preserve">What Happens</t>
  </si>
  <si>
    <t xml:space="preserve">Fix &amp; Timeline</t>
  </si>
  <si>
    <t xml:space="preserve">Boolean fields NULL instead of FALSE</t>
  </si>
  <si>
    <t xml:space="preserve">P1 — Critical</t>
  </si>
  <si>
    <t xml:space="preserve">~85% of all calls</t>
  </si>
  <si>
    <t xml:space="preserve">callback/busy fields stay NULL not FALSE — all callback reporting is unreliable</t>
  </si>
  <si>
    <t xml:space="preserve">Found in every call type across both review batches</t>
  </si>
  <si>
    <t xml:space="preserve">Post-call default rule: set all 3 fields to FALSE at call close. Apply retroactively. 1 day.</t>
  </si>
  <si>
    <t xml:space="preserve">Pipeline failure: summary saved, fields all NULL</t>
  </si>
  <si>
    <t xml:space="preserve">~5-8 per 100 calls</t>
  </si>
  <si>
    <t xml:space="preserve">Bot writes summary but structured data silently dropped — zero-data calls look complete</t>
  </si>
  <si>
    <t xml:space="preserve">Calls 1573718, 1580958: summary describes conversation; all fields NULL</t>
  </si>
  <si>
    <t xml:space="preserve">Atomic save: summary + fields in same database transaction. Auto-alert on mismatch. 1-2 days.</t>
  </si>
  <si>
    <t xml:space="preserve">days_without_water not extracted despite caller stating number</t>
  </si>
  <si>
    <t xml:space="preserve">843 of 1,136 irregular callers</t>
  </si>
  <si>
    <t xml:space="preserve">NLP captures the number in summary text but structured field stays unknown — pipeline wiring bug</t>
  </si>
  <si>
    <t xml:space="preserve">ID 1516593: summary '4-5 days', field=unknown. ID 1039250: '4-5 months', field=unknown</t>
  </si>
  <si>
    <t xml:space="preserve">Add Assamese numeric regex. Cap at 7; write actual to notes. 1 day fix. 843 fields recoverable.</t>
  </si>
  <si>
    <t xml:space="preserve">Bot stops survey after irregular supply — skips quality and satisfaction</t>
  </si>
  <si>
    <t xml:space="preserve">P1 — High</t>
  </si>
  <si>
    <t xml:space="preserve">~600 quality unknowns</t>
  </si>
  <si>
    <t xml:space="preserve">Decision tree exits quality/satisfaction branch once wrd=no confirmed. Worst callers get least data.</t>
  </si>
  <si>
    <t xml:space="preserve">IDs 1220512, 1339306: 169-196 sec calls, wrd=no, all satisfaction fields unknown</t>
  </si>
  <si>
    <t xml:space="preserve">Rewrite decision tree: all paths must reach satisfaction question. 2-3 days.</t>
  </si>
  <si>
    <t xml:space="preserve">call_ended_early=no for calls with zero data</t>
  </si>
  <si>
    <t xml:space="preserve">~500+ in full dataset</t>
  </si>
  <si>
    <t xml:space="preserve">Bot checks for explicit trigger not survey outcome — inflates completion metrics 15-20%</t>
  </si>
  <si>
    <t xml:space="preserve">IDs 1033113, 1044998: 5-19 sec hello-only calls marked not ended early</t>
  </si>
  <si>
    <t xml:space="preserve">Retroactive outcome check: consent=yes + all fields unknown → force ended_early=yes. 1 day.</t>
  </si>
  <si>
    <t xml:space="preserve">Consent given but survey flow never starts — mutual deadlock</t>
  </si>
  <si>
    <t xml:space="preserve">P2 — High</t>
  </si>
  <si>
    <t xml:space="preserve">~300 calls</t>
  </si>
  <si>
    <t xml:space="preserve">After consent, both bot and caller wait for each other. 60-171 sec calls with zero data.</t>
  </si>
  <si>
    <t xml:space="preserve">IDs 1034327, 1519273: consent confirmed; bot waits; caller waits; nothing happens</t>
  </si>
  <si>
    <t xml:space="preserve">Immediate Q1 after consent: no wait state. Bridge phrase + auto-advance to first question. 1 day.</t>
  </si>
  <si>
    <t xml:space="preserve">No multilingual support — non-Assamese speakers excluded</t>
  </si>
  <si>
    <t xml:space="preserve">P2 — Equity</t>
  </si>
  <si>
    <t xml:space="preserve">30+ confirmed; 200-500+ estimated</t>
  </si>
  <si>
    <t xml:space="preserve">Hindi, Tamil, Bengali, Nepali speakers cannot participate. 407-sec call: willing Hindi speaker, zero data.</t>
  </si>
  <si>
    <t xml:space="preserve">ID 1032989 (Hindi, 407s), 1350798 (Tamil), 1033061 (Nepali), 1121659 (Bengali)</t>
  </si>
  <si>
    <t xml:space="preserve">Integrate Bhasini API (bhashini.gov.in) — free, govt-aligned. Phase 1: detect + flag. 1-2 weeks.</t>
  </si>
  <si>
    <t xml:space="preserve">Bot intro too long — hello-and-hangup phenomenon</t>
  </si>
  <si>
    <t xml:space="preserve">~3,700 calls lost</t>
  </si>
  <si>
    <t xml:space="preserve">Callers hear long automated intro, assume robocall, disconnect before consent question</t>
  </si>
  <si>
    <t xml:space="preserve">3,700+ calls &lt;30 sec; 86% have no consent; evidence: 'caller only said hello'</t>
  </si>
  <si>
    <t xml:space="preserve">Shorten intro to &lt;10 sec. Lead with name. Ask consent immediately. 1 day script change.</t>
  </si>
  <si>
    <t xml:space="preserve">Strategic Recommendations — Actions for Government &amp; Programme Management</t>
  </si>
  <si>
    <t xml:space="preserve">  IMMEDIATE — 0 to 30 Days (Crisis Response &amp; Field Action)</t>
  </si>
  <si>
    <t xml:space="preserve">Action</t>
  </si>
  <si>
    <t xml:space="preserve">Evidence from Data</t>
  </si>
  <si>
    <t xml:space="preserve">Expected Outcome</t>
  </si>
  <si>
    <t xml:space="preserve">KPI</t>
  </si>
  <si>
    <t xml:space="preserve">Map all villages with village-wide supply failure + 7-day no-water — designate as crisis zones for emergency intervention</t>
  </si>
  <si>
    <t xml:space="preserve">PHED / District JJM Cell</t>
  </si>
  <si>
    <t xml:space="preserve">82 calls: full-week no water. 841 calls: village-wide scope. Some describe months/years of absence.</t>
  </si>
  <si>
    <t xml:space="preserve">Identify top 50 crisis villages for immediate supply restoration</t>
  </si>
  <si>
    <t xml:space="preserve">100% of crisis villages reached within 15 days</t>
  </si>
  <si>
    <t xml:space="preserve">Deploy water tankers to communities reporting &gt;7 days no water while pipe/pump repairs are arranged</t>
  </si>
  <si>
    <t xml:space="preserve">District Collector / PHED</t>
  </si>
  <si>
    <t xml:space="preserve">Callers describe resorting to ponds and rivers — public health risk of waterborne disease is immediate</t>
  </si>
  <si>
    <t xml:space="preserve">Prevent health emergency from no-water situations</t>
  </si>
  <si>
    <t xml:space="preserve">Zero communities using surface water for drinking within 30 days</t>
  </si>
  <si>
    <t xml:space="preserve">Emergency pump/motor inspection in all 143 villages flagged for electricity-related supply failure</t>
  </si>
  <si>
    <t xml:space="preserve">PHED / DISCOM</t>
  </si>
  <si>
    <t xml:space="preserve">143 calls cite electricity/pump failures — operationally fixable without capital investment</t>
  </si>
  <si>
    <t xml:space="preserve">Restore supply to ~5% of affected population through quick operational fix</t>
  </si>
  <si>
    <t xml:space="preserve">All 143 villages inspected and operational issues resolved within 30 days</t>
  </si>
  <si>
    <t xml:space="preserve">Issue PWD directive: no road excavation in JJM supply zones without mandatory PHED clearance</t>
  </si>
  <si>
    <t xml:space="preserve">147 pipe damage cases from road construction — equal in scale to electricity failures</t>
  </si>
  <si>
    <t xml:space="preserve">Stop new pipeline damage from ongoing road works</t>
  </si>
  <si>
    <t xml:space="preserve">Zero new pipe damage from road works in next 90 days</t>
  </si>
  <si>
    <t xml:space="preserve">Investigate Jalmitra accountability in all villages with governance complaints</t>
  </si>
  <si>
    <t xml:space="preserve">DWSM / State JJM Authority</t>
  </si>
  <si>
    <t xml:space="preserve">~15 calls mention Jalmitra bias (own household priority) and unpaid caretakers stopping work</t>
  </si>
  <si>
    <t xml:space="preserve">Remove bad actors; restore equitable supply in governance-failure villages</t>
  </si>
  <si>
    <t xml:space="preserve">All flagged governance cases reviewed and resolved within 45 days</t>
  </si>
  <si>
    <t xml:space="preserve">  MEDIUM-TERM — 30 to 90 Days (Operational Improvement)</t>
  </si>
  <si>
    <t xml:space="preserve">Establish dedicated electricity feeder or solar pump backup in all villages with ≥2 electricity failure reports</t>
  </si>
  <si>
    <t xml:space="preserve">PHED / DISCOM / Power Dept.</t>
  </si>
  <si>
    <t xml:space="preserve">Electricity failure is the top cause at 143 cases — power outage directly halts water supply for entire village</t>
  </si>
  <si>
    <t xml:space="preserve">Decouple water supply from grid power availability</t>
  </si>
  <si>
    <t xml:space="preserve">95% pump uptime regardless of grid status</t>
  </si>
  <si>
    <t xml:space="preserve">Create structured billing complaint mechanism — citizens paying fees but not receiving water need accessible refund/credit path</t>
  </si>
  <si>
    <t xml:space="preserve">District Authority / JJM Finance</t>
  </si>
  <si>
    <t xml:space="preserve">88 billing complaints in free text — no structured tracking exists; creates legal liability and erodes trust</t>
  </si>
  <si>
    <t xml:space="preserve">Restore financial trust in JJM; reduce litigation risk</t>
  </si>
  <si>
    <t xml:space="preserve">Zero unresolved billing complaints older than 30 days</t>
  </si>
  <si>
    <t xml:space="preserve">Commission pipe condition survey in all JJM zones along active road construction corridors</t>
  </si>
  <si>
    <t xml:space="preserve">PHED / PWD</t>
  </si>
  <si>
    <t xml:space="preserve">147 pipe damage cases from construction and ageing GI pipes — preventive survey is cheaper than emergency repair</t>
  </si>
  <si>
    <t xml:space="preserve">Identify and pre-emptively fix vulnerable pipe segments before failure</t>
  </si>
  <si>
    <t xml:space="preserve">Complete pipe survey in all flagged zones within 60 days</t>
  </si>
  <si>
    <t xml:space="preserve">Establish mandatory quarterly filter cleaning schedule — documented, geo-tagged, and verified by field engineer</t>
  </si>
  <si>
    <t xml:space="preserve">PHED / Operator / Jalmitra</t>
  </si>
  <si>
    <t xml:space="preserve">105 water quality complaints — dirty, muddy, iron-tainted water indicating filter maintenance neglect</t>
  </si>
  <si>
    <t xml:space="preserve">Reduce quality complaints by 60%+ through preventive maintenance</t>
  </si>
  <si>
    <t xml:space="preserve">100% of JJM filters on documented cleaning schedule within 90 days</t>
  </si>
  <si>
    <t xml:space="preserve">Launch targeted IVR and communication outreach in Hindi, Bengali, and Nepali for tea garden and migrant communities</t>
  </si>
  <si>
    <t xml:space="preserve">JJM Communications / State</t>
  </si>
  <si>
    <t xml:space="preserve">30+ confirmed language-excluded calls; tea garden districts likely have much higher non-Assamese population</t>
  </si>
  <si>
    <t xml:space="preserve">Ensure feedback representativeness includes all JJM beneficiary communities</t>
  </si>
  <si>
    <t xml:space="preserve">≥10% of responses from non-Assamese speakers in next survey batch</t>
  </si>
  <si>
    <t xml:space="preserve">  STRATEGIC — 90+ Days (Policy, Technology &amp; Systemic Change)</t>
  </si>
  <si>
    <t xml:space="preserve">Rationale</t>
  </si>
  <si>
    <t xml:space="preserve">KPI Target</t>
  </si>
  <si>
    <t xml:space="preserve">Integrate Bhasini multilingual API into IVR — enable Hindi, Bengali, Tamil, Nepali survey flows</t>
  </si>
  <si>
    <t xml:space="preserve">JJM Technology / NIC</t>
  </si>
  <si>
    <t xml:space="preserve">30+ language exclusions confirmed; Bhasini is free, govt-aligned; migrant communities are JJM beneficiaries invisible to current feedback</t>
  </si>
  <si>
    <t xml:space="preserve">Complete demographic coverage of all JJM beneficiary communities</t>
  </si>
  <si>
    <t xml:space="preserve">Zero language-based exclusions; non-Assamese response rate &gt;10%</t>
  </si>
  <si>
    <t xml:space="preserve">Redesign IVR conversation flow: shorten intro, fix decision tree, add clarification probes, immediate Q1 after consent</t>
  </si>
  <si>
    <t xml:space="preserve">JJM Technology / Bot Vendor</t>
  </si>
  <si>
    <t xml:space="preserve">77% of calls yield partial data; 300+ consent-no-data calls; 600+ satisfaction unknowns preventable through design fixes</t>
  </si>
  <si>
    <t xml:space="preserve">Double effective data yield from same call volume</t>
  </si>
  <si>
    <t xml:space="preserve">Clarity score ≥60% in &gt;50% of consent calls; satisfaction extracted in &gt;70% of long calls</t>
  </si>
  <si>
    <t xml:space="preserve">Create automated escalation: long calls + village-wide scope + dissatisfied → District JJM Cell within 72 hours</t>
  </si>
  <si>
    <t xml:space="preserve">PHED / District Collector</t>
  </si>
  <si>
    <t xml:space="preserve">377 calls meet escalation criteria now; 82 are full-week no-water crisis — identifiable in real time from IVR data</t>
  </si>
  <si>
    <t xml:space="preserve">Reduce citizen complaint to field response time from weeks to 72 hours</t>
  </si>
  <si>
    <t xml:space="preserve">100% of escalation-flagged cases responded within 72 hours</t>
  </si>
  <si>
    <t xml:space="preserve">Develop JJM Supply Reliability Index per village: daily supply rate × quality score × satisfaction — public dashboard</t>
  </si>
  <si>
    <t xml:space="preserve">PHED / NIC / JJM MIS</t>
  </si>
  <si>
    <t xml:space="preserve">Current monitoring is activity-based not outcome-based; village SRI enables performance ranking and accountability</t>
  </si>
  <si>
    <t xml:space="preserve">Data-driven resource allocation; identify and fix chronic underperformers</t>
  </si>
  <si>
    <t xml:space="preserve">All villages with SRI &lt;40% under active improvement plan with quarterly review</t>
  </si>
  <si>
    <t xml:space="preserve">Pilot inbound 'Water Health Hotline' for urgent contamination and illness reports — complement outbound IVR survey</t>
  </si>
  <si>
    <t xml:space="preserve">District Collector / Health Dept.</t>
  </si>
  <si>
    <t xml:space="preserve">Current system is outbound only; citizens with contamination or illness cannot proactively reach government — health risk goes uncaptured</t>
  </si>
  <si>
    <t xml:space="preserve">Capture urgent water quality and public health signals before outbreak escalation</t>
  </si>
  <si>
    <t xml:space="preserve">Hotline live in top 10 flagged districts within 6 months; &lt;24-hour response for health complaints</t>
  </si>
  <si>
    <t xml:space="preserve">Data Charts — Visual Analysis of Key Metrics</t>
  </si>
  <si>
    <t xml:space="preserve">Supply Status Distribution (Usable Calls)</t>
  </si>
  <si>
    <t xml:space="preserve">Count</t>
  </si>
  <si>
    <t xml:space="preserve">Percentage</t>
  </si>
  <si>
    <t xml:space="preserve">Daily Supply ✓</t>
  </si>
  <si>
    <t xml:space="preserve">Irregular/No Supply ✗</t>
  </si>
  <si>
    <t xml:space="preserve">Unknown</t>
  </si>
  <si>
    <t xml:space="preserve">"</t>
  </si>
  <si>
    <t xml:space="preserve">Call Duration Distribution</t>
  </si>
  <si>
    <t xml:space="preserve">Duration</t>
  </si>
  <si>
    <t xml:space="preserve">%</t>
  </si>
  <si>
    <t xml:space="preserve">0-15 sec</t>
  </si>
  <si>
    <t xml:space="preserve">15-30 sec</t>
  </si>
  <si>
    <t xml:space="preserve">30-60 sec</t>
  </si>
  <si>
    <t xml:space="preserve">60-90 sec</t>
  </si>
  <si>
    <t xml:space="preserve">90-120 sec</t>
  </si>
  <si>
    <t xml:space="preserve">120-150 sec</t>
  </si>
  <si>
    <t xml:space="preserve">150-200 sec</t>
  </si>
  <si>
    <t xml:space="preserve">200-300 sec</t>
  </si>
  <si>
    <t xml:space="preserve">300+ sec</t>
  </si>
  <si>
    <t xml:space="preserve">Satisfaction Outcomes (Usable Calls)</t>
  </si>
  <si>
    <t xml:space="preserve">Outcome</t>
  </si>
  <si>
    <t xml:space="preserve">Satisfied</t>
  </si>
  <si>
    <t xml:space="preserve">Neutral</t>
  </si>
  <si>
    <t xml:space="preserve">Dissatisfied</t>
  </si>
  <si>
    <t xml:space="preserve">Complaint Theme Frequency</t>
  </si>
  <si>
    <t xml:space="preserve">Calls</t>
  </si>
  <si>
    <t xml:space="preserve">Positive / Satisfied</t>
  </si>
  <si>
    <t xml:space="preserve">Pipe Damage</t>
  </si>
  <si>
    <t xml:space="preserve">Electricity Failure</t>
  </si>
  <si>
    <t xml:space="preserve">Water Quality</t>
  </si>
  <si>
    <t xml:space="preserve">Billing Queries</t>
  </si>
  <si>
    <t xml:space="preserve">Timing Issues</t>
  </si>
  <si>
    <t xml:space="preserve">Governance</t>
  </si>
  <si>
    <t xml:space="preserve">Field Extraction Accuracy (%)</t>
  </si>
  <si>
    <t xml:space="preserve">Field</t>
  </si>
  <si>
    <t xml:space="preserve">Rate %</t>
  </si>
  <si>
    <t xml:space="preserve">Consent</t>
  </si>
  <si>
    <t xml:space="preserve">Water Received Daily</t>
  </si>
  <si>
    <t xml:space="preserve">Quantity Satisfied</t>
  </si>
  <si>
    <t xml:space="preserve">Quality Satisfied</t>
  </si>
  <si>
    <t xml:space="preserve">Supply Scope</t>
  </si>
  <si>
    <t xml:space="preserve">Methodology, Data Sources &amp; Glossary</t>
  </si>
  <si>
    <t xml:space="preserve">DATA SOURCE &amp; METHODOLOGY</t>
  </si>
  <si>
    <t xml:space="preserve">Survey Platform</t>
  </si>
  <si>
    <t xml:space="preserve">AI-powered IVR (Interactive Voice Response) bot deployed via Raya platform. Calls conducted in Assamese language targeting Jal Jeevan Mission beneficiaries in Upper Assam.</t>
  </si>
  <si>
    <t xml:space="preserve">March 2026</t>
  </si>
  <si>
    <t xml:space="preserve">Upper Assam districts</t>
  </si>
  <si>
    <t xml:space="preserve">Data Volume</t>
  </si>
  <si>
    <t xml:space="preserve">1,05,512 total contacts in database. 8,896 calls connected and summarised. 2,780 calls ≥60 seconds (usable for analysis).</t>
  </si>
  <si>
    <t xml:space="preserve">Batch Export Sheet</t>
  </si>
  <si>
    <t xml:space="preserve">Full district database</t>
  </si>
  <si>
    <t xml:space="preserve">AI Extraction</t>
  </si>
  <si>
    <t xml:space="preserve">Each call is automatically transcribed and analysed. Structured fields (consent, water_received_daily, satisfaction etc.) extracted from speech using NLP. Summary generated separately.</t>
  </si>
  <si>
    <t xml:space="preserve">Raya API</t>
  </si>
  <si>
    <t xml:space="preserve">Per-call processing</t>
  </si>
  <si>
    <t xml:space="preserve">Quality Review</t>
  </si>
  <si>
    <t xml:space="preserve">100-call stratified review conducted by human reviewers listening to actual recordings. Verified AI extraction accuracy and identified systematic bot errors.</t>
  </si>
  <si>
    <t xml:space="preserve">IVR_Bot_Review sheet</t>
  </si>
  <si>
    <t xml:space="preserve">Stratified sample</t>
  </si>
  <si>
    <t xml:space="preserve">Inference Method</t>
  </si>
  <si>
    <t xml:space="preserve">Statistical analysis of structured fields cross-referenced with call duration, satisfaction, and supply scope to derive causal relationships and predictive signals.</t>
  </si>
  <si>
    <t xml:space="preserve">This workbook</t>
  </si>
  <si>
    <t xml:space="preserve">Batch Export analysis</t>
  </si>
  <si>
    <t xml:space="preserve">Clarity Score</t>
  </si>
  <si>
    <t xml:space="preserve">Custom KPI: % of 7 survey fields (water_received_daily, quality, quantity, consistency, satisfaction, days_without_water, scope) that have non-unknown values. Max 100.</t>
  </si>
  <si>
    <t xml:space="preserve">Calculated field</t>
  </si>
  <si>
    <t xml:space="preserve">Per-call metric</t>
  </si>
  <si>
    <t xml:space="preserve">Survey Quality Index</t>
  </si>
  <si>
    <t xml:space="preserve">SQI = Consent Rate × Mean Clarity Score / 100. Measures combined reach and data completeness. Target benchmark: 0.60. Current: 0.267.</t>
  </si>
  <si>
    <t xml:space="preserve">Calculated</t>
  </si>
  <si>
    <t xml:space="preserve">Batch-level metric</t>
  </si>
  <si>
    <t xml:space="preserve">GLOSSARY OF KEY TERMS</t>
  </si>
  <si>
    <t xml:space="preserve">Term</t>
  </si>
  <si>
    <t xml:space="preserve">Definition</t>
  </si>
  <si>
    <t xml:space="preserve">Values</t>
  </si>
  <si>
    <t xml:space="preserve">Used In</t>
  </si>
  <si>
    <t xml:space="preserve">consent</t>
  </si>
  <si>
    <t xml:space="preserve">Whether the citizen agreed to participate in the survey and allow recording of the call.</t>
  </si>
  <si>
    <t xml:space="preserve">yes / no / unknown</t>
  </si>
  <si>
    <t xml:space="preserve">All sheets</t>
  </si>
  <si>
    <t xml:space="preserve">water_received_daily</t>
  </si>
  <si>
    <t xml:space="preserve">Whether the citizen received tap water every day in the last 7 days before the call.</t>
  </si>
  <si>
    <t xml:space="preserve">Water Supply sheet</t>
  </si>
  <si>
    <t xml:space="preserve">days_without_water</t>
  </si>
  <si>
    <t xml:space="preserve">Number of days in the last 7 days when the citizen received no tap water supply.</t>
  </si>
  <si>
    <t xml:space="preserve">1–7 / unknown / NA</t>
  </si>
  <si>
    <t xml:space="preserve">supply_issue_scope</t>
  </si>
  <si>
    <t xml:space="preserve">Whether the water supply failure affects only this household or the entire village.</t>
  </si>
  <si>
    <t xml:space="preserve">village_wide / household_only / unknown</t>
  </si>
  <si>
    <t xml:space="preserve">quality_satisfied</t>
  </si>
  <si>
    <t xml:space="preserve">Whether the citizen is satisfied with the quality (cleanliness, taste, odour) of the water.</t>
  </si>
  <si>
    <t xml:space="preserve">Extraction sheet</t>
  </si>
  <si>
    <t xml:space="preserve">quantity_satisfied</t>
  </si>
  <si>
    <t xml:space="preserve">Whether the citizen is satisfied with the amount of water they receive when it comes.</t>
  </si>
  <si>
    <t xml:space="preserve">overall_satisfaction</t>
  </si>
  <si>
    <t xml:space="preserve">The citizen's overall satisfaction with the Jal Jeevan Mission water scheme.</t>
  </si>
  <si>
    <t xml:space="preserve">satisfied / neutral / dissatisfied / unknown</t>
  </si>
  <si>
    <t xml:space="preserve">call_ended_early</t>
  </si>
  <si>
    <t xml:space="preserve">Whether the call ended before the complete survey was administered.</t>
  </si>
  <si>
    <t xml:space="preserve">yes / no</t>
  </si>
  <si>
    <t xml:space="preserve">Bot Performance sheet</t>
  </si>
  <si>
    <t xml:space="preserve">early_end_reason</t>
  </si>
  <si>
    <t xml:space="preserve">Why the call ended before survey completion.</t>
  </si>
  <si>
    <t xml:space="preserve">unclear_responses / user_busy / user_refused / call_disconnected / unknown</t>
  </si>
  <si>
    <t xml:space="preserve">callback_requested</t>
  </si>
  <si>
    <t xml:space="preserve">Whether the citizen asked to be called back at a more convenient time.</t>
  </si>
  <si>
    <t xml:space="preserve">TRUE / FALSE / NULL (bug)</t>
  </si>
  <si>
    <t xml:space="preserve">clarity_score</t>
  </si>
  <si>
    <t xml:space="preserve">Percentage of the 7 key survey fields that have a definitive non-unknown value. 0 = all unknown, 100 = all extracted.</t>
  </si>
  <si>
    <t xml:space="preserve">0–100</t>
  </si>
  <si>
    <t xml:space="preserve">Inference sheet</t>
  </si>
  <si>
    <t xml:space="preserve">SQI (Survey Quality Index)</t>
  </si>
  <si>
    <t xml:space="preserve">Composite measure of survey effectiveness: consent rate × mean clarity score / 100. Benchmark target: 0.60.</t>
  </si>
  <si>
    <t xml:space="preserve">0–1.0</t>
  </si>
  <si>
    <t xml:space="preserve">Tier A data</t>
  </si>
  <si>
    <t xml:space="preserve">Calls ≥150 seconds with consent — gold standard data safe for policy decisions.</t>
  </si>
  <si>
    <t xml:space="preserve">Tier B data</t>
  </si>
  <si>
    <t xml:space="preserve">Calls 60-150 seconds with consent — partial data suitable for directional trends.</t>
  </si>
  <si>
    <t xml:space="preserve">Bhasini</t>
  </si>
  <si>
    <t xml:space="preserve">Government of India's AI-based language translation platform (bhashini.gov.in). Supports Assamese, Hindi, Bengali, Tamil, Nepali and others. Free for government use.</t>
  </si>
  <si>
    <t xml:space="preserve">API integration</t>
  </si>
  <si>
    <t xml:space="preserve">Recommendations sheet</t>
  </si>
  <si>
    <t xml:space="preserve">Jalmitra</t>
  </si>
  <si>
    <t xml:space="preserve">Local water committee member responsible for managing water supply and distribution in JJM villages. Subject of governance complaints in several calls.</t>
  </si>
  <si>
    <t xml:space="preserve">Field role</t>
  </si>
  <si>
    <t xml:space="preserve">SRI (Supply Reliability Index)</t>
  </si>
  <si>
    <t xml:space="preserve">Proposed KPI: daily supply rate × quality score × satisfaction rate per village. Enables village-level performance ranking. Currently proposed, not yet implemented.</t>
  </si>
  <si>
    <t xml:space="preserve">IMPORTANT CAVEATS &amp; LIMITATIONS</t>
  </si>
  <si>
    <t xml:space="preserve">  • This analysis is based on the Upper Assam Test Batch (March 2026) — findings are directional and should not be used as definitive district-level statistics without broader sampling.</t>
  </si>
  <si>
    <t xml:space="preserve">  • 65.1% of satisfaction outcomes are unknown due to bot extraction failures — the satisfaction distribution shown (17.8% satisfied, 9% neutral, 6.9% dissatisfied) applies only to the 34.9% of calls where satisfaction was successfully captured.</t>
  </si>
  <si>
    <t xml:space="preserve">  • Non-Assamese speaking citizens are systematically absent from this data — the actual satisfaction and supply situation in tea garden communities may differ significantly.</t>
  </si>
  <si>
    <t xml:space="preserve">  • 74.2% of days_without_water values are unknown due to a confirmed pipeline bug — the days distribution should be interpreted as indicative of the affected population, not the full irregular supply cohort.</t>
  </si>
  <si>
    <t xml:space="preserve">  • The 'Tier C' category (short calls / no consent) should be excluded from any water supply analysis. Including these calls in supply statistics would dramatically undercount supply failures.</t>
  </si>
  <si>
    <t xml:space="preserve">  • Governance complaints (Jalmitra, caretaker salary, fund misuse) represent a small confirmed count but are likely significantly undercounted — the survey is not designed as a grievance channel.</t>
  </si>
</sst>
</file>

<file path=xl/styles.xml><?xml version="1.0" encoding="utf-8"?>
<styleSheet xmlns="http://schemas.openxmlformats.org/spreadsheetml/2006/main">
  <numFmts count="1">
    <numFmt numFmtId="164" formatCode="General"/>
  </numFmts>
  <fonts count="4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i val="true"/>
      <sz val="10"/>
      <color rgb="FF7BA7D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22"/>
      <color rgb="FF1A3C6E"/>
      <name val="Calibri"/>
      <family val="0"/>
      <charset val="1"/>
    </font>
    <font>
      <b val="true"/>
      <sz val="22"/>
      <color rgb="FF2563B0"/>
      <name val="Calibri"/>
      <family val="0"/>
      <charset val="1"/>
    </font>
    <font>
      <b val="true"/>
      <sz val="22"/>
      <color rgb="FF0D6E6E"/>
      <name val="Calibri"/>
      <family val="0"/>
      <charset val="1"/>
    </font>
    <font>
      <b val="true"/>
      <sz val="22"/>
      <color rgb="FF065F46"/>
      <name val="Calibri"/>
      <family val="0"/>
      <charset val="1"/>
    </font>
    <font>
      <b val="true"/>
      <sz val="22"/>
      <color rgb="FF4C1D95"/>
      <name val="Calibri"/>
      <family val="0"/>
      <charset val="1"/>
    </font>
    <font>
      <b val="true"/>
      <sz val="9"/>
      <color rgb="FF1E293B"/>
      <name val="Calibri"/>
      <family val="0"/>
      <charset val="1"/>
    </font>
    <font>
      <i val="true"/>
      <sz val="8"/>
      <color rgb="FF94A3B8"/>
      <name val="Calibri"/>
      <family val="0"/>
      <charset val="1"/>
    </font>
    <font>
      <b val="true"/>
      <sz val="10"/>
      <color rgb="FF334155"/>
      <name val="Calibri"/>
      <family val="0"/>
      <charset val="1"/>
    </font>
    <font>
      <b val="true"/>
      <sz val="9"/>
      <color rgb="FF334155"/>
      <name val="Calibri"/>
      <family val="0"/>
      <charset val="1"/>
    </font>
    <font>
      <b val="true"/>
      <sz val="10"/>
      <color rgb="FF2563B0"/>
      <name val="Calibri"/>
      <family val="0"/>
      <charset val="1"/>
    </font>
    <font>
      <b val="true"/>
      <sz val="9"/>
      <color rgb="FF2563B0"/>
      <name val="Calibri"/>
      <family val="0"/>
      <charset val="1"/>
    </font>
    <font>
      <b val="true"/>
      <sz val="10"/>
      <color rgb="FF0D6E6E"/>
      <name val="Calibri"/>
      <family val="0"/>
      <charset val="1"/>
    </font>
    <font>
      <b val="true"/>
      <sz val="9"/>
      <color rgb="FF0D6E6E"/>
      <name val="Calibri"/>
      <family val="0"/>
      <charset val="1"/>
    </font>
    <font>
      <b val="true"/>
      <sz val="10"/>
      <color rgb="FF065F46"/>
      <name val="Calibri"/>
      <family val="0"/>
      <charset val="1"/>
    </font>
    <font>
      <b val="true"/>
      <sz val="9"/>
      <color rgb="FF065F46"/>
      <name val="Calibri"/>
      <family val="0"/>
      <charset val="1"/>
    </font>
    <font>
      <b val="true"/>
      <sz val="10"/>
      <color rgb="FF4C1D95"/>
      <name val="Calibri"/>
      <family val="0"/>
      <charset val="1"/>
    </font>
    <font>
      <b val="true"/>
      <sz val="9"/>
      <color rgb="FF4C1D95"/>
      <name val="Calibri"/>
      <family val="0"/>
      <charset val="1"/>
    </font>
    <font>
      <b val="true"/>
      <sz val="10"/>
      <color rgb="FF92400E"/>
      <name val="Calibri"/>
      <family val="0"/>
      <charset val="1"/>
    </font>
    <font>
      <b val="true"/>
      <sz val="9"/>
      <color rgb="FF92400E"/>
      <name val="Calibri"/>
      <family val="0"/>
      <charset val="1"/>
    </font>
    <font>
      <b val="true"/>
      <sz val="22"/>
      <color rgb="FF991B1B"/>
      <name val="Calibri"/>
      <family val="0"/>
      <charset val="1"/>
    </font>
    <font>
      <b val="true"/>
      <sz val="22"/>
      <color rgb="FF92400E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sz val="9"/>
      <color rgb="FF1E293B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9"/>
      <color rgb="FF991B1B"/>
      <name val="Calibri"/>
      <family val="0"/>
      <charset val="1"/>
    </font>
    <font>
      <sz val="9"/>
      <color rgb="FF065F46"/>
      <name val="Calibri"/>
      <family val="0"/>
      <charset val="1"/>
    </font>
    <font>
      <sz val="9"/>
      <color rgb="FF0D6E6E"/>
      <name val="Calibri"/>
      <family val="0"/>
      <charset val="1"/>
    </font>
    <font>
      <sz val="9"/>
      <color rgb="FF92400E"/>
      <name val="Calibri"/>
      <family val="0"/>
      <charset val="1"/>
    </font>
    <font>
      <sz val="9"/>
      <color rgb="FF991B1B"/>
      <name val="Calibri"/>
      <family val="0"/>
      <charset val="1"/>
    </font>
    <font>
      <sz val="9"/>
      <color rgb="FF4C1D95"/>
      <name val="Calibri"/>
      <family val="0"/>
      <charset val="1"/>
    </font>
    <font>
      <sz val="9"/>
      <color rgb="FF2563B0"/>
      <name val="Calibri"/>
      <family val="0"/>
      <charset val="1"/>
    </font>
    <font>
      <sz val="9"/>
      <color rgb="FF1E293B"/>
      <name val="FreeSans"/>
      <family val="2"/>
    </font>
    <font>
      <b val="true"/>
      <sz val="10"/>
      <color rgb="FF1E293B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0A1628"/>
        <bgColor rgb="FF1E293B"/>
      </patternFill>
    </fill>
    <fill>
      <patternFill patternType="solid">
        <fgColor rgb="FF2563B0"/>
        <bgColor rgb="FF0D6E6E"/>
      </patternFill>
    </fill>
    <fill>
      <patternFill patternType="solid">
        <fgColor rgb="FF1E293B"/>
        <bgColor rgb="FF0A1628"/>
      </patternFill>
    </fill>
    <fill>
      <patternFill patternType="solid">
        <fgColor rgb="FFF1F5F9"/>
        <bgColor rgb="FFE8EDF5"/>
      </patternFill>
    </fill>
    <fill>
      <patternFill patternType="solid">
        <fgColor rgb="FFDBEAFE"/>
        <bgColor rgb="FFE2E8F0"/>
      </patternFill>
    </fill>
    <fill>
      <patternFill patternType="solid">
        <fgColor rgb="FFCCFBF1"/>
        <bgColor rgb="FFD1FAE5"/>
      </patternFill>
    </fill>
    <fill>
      <patternFill patternType="solid">
        <fgColor rgb="FFD1FAE5"/>
        <bgColor rgb="FFCCFBF1"/>
      </patternFill>
    </fill>
    <fill>
      <patternFill patternType="solid">
        <fgColor rgb="FFEDE9FE"/>
        <bgColor rgb="FFE8EDF5"/>
      </patternFill>
    </fill>
    <fill>
      <patternFill patternType="solid">
        <fgColor rgb="FFFFFFFF"/>
        <bgColor rgb="FFF1F5F9"/>
      </patternFill>
    </fill>
    <fill>
      <patternFill patternType="solid">
        <fgColor rgb="FF334155"/>
        <bgColor rgb="FF1A3C6E"/>
      </patternFill>
    </fill>
    <fill>
      <patternFill patternType="solid">
        <fgColor rgb="FFE8EDF5"/>
        <bgColor rgb="FFEDE9FE"/>
      </patternFill>
    </fill>
    <fill>
      <patternFill patternType="solid">
        <fgColor rgb="FF0D6E6E"/>
        <bgColor rgb="FF065F46"/>
      </patternFill>
    </fill>
    <fill>
      <patternFill patternType="solid">
        <fgColor rgb="FF065F46"/>
        <bgColor rgb="FF0D6E6E"/>
      </patternFill>
    </fill>
    <fill>
      <patternFill patternType="solid">
        <fgColor rgb="FF4C1D95"/>
        <bgColor rgb="FF660066"/>
      </patternFill>
    </fill>
    <fill>
      <patternFill patternType="solid">
        <fgColor rgb="FF92400E"/>
        <bgColor rgb="FF991B1B"/>
      </patternFill>
    </fill>
    <fill>
      <patternFill patternType="solid">
        <fgColor rgb="FFFEE2E2"/>
        <bgColor rgb="FFEDE9FE"/>
      </patternFill>
    </fill>
    <fill>
      <patternFill patternType="solid">
        <fgColor rgb="FFFEF3C7"/>
        <bgColor rgb="FFFEE2E2"/>
      </patternFill>
    </fill>
    <fill>
      <patternFill patternType="solid">
        <fgColor rgb="FF1A3C6E"/>
        <bgColor rgb="FF334155"/>
      </patternFill>
    </fill>
    <fill>
      <patternFill patternType="solid">
        <fgColor rgb="FF991B1B"/>
        <bgColor rgb="FF800000"/>
      </patternFill>
    </fill>
    <fill>
      <patternFill patternType="solid">
        <fgColor rgb="FFFFB3B3"/>
        <bgColor rgb="FFD9D9D9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0A1628"/>
      </left>
      <right style="thin">
        <color rgb="FF0A1628"/>
      </right>
      <top style="thin">
        <color rgb="FF0A1628"/>
      </top>
      <bottom style="thin">
        <color rgb="FF0A1628"/>
      </bottom>
      <diagonal/>
    </border>
    <border diagonalUp="false" diagonalDown="false">
      <left style="thin">
        <color rgb="FF1E293B"/>
      </left>
      <right style="thin">
        <color rgb="FF1E293B"/>
      </right>
      <top style="thin">
        <color rgb="FF1E293B"/>
      </top>
      <bottom style="thin">
        <color rgb="FF1E293B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1A3C6E"/>
      </left>
      <right style="thin">
        <color rgb="FF1A3C6E"/>
      </right>
      <top style="thin">
        <color rgb="FF1A3C6E"/>
      </top>
      <bottom style="thin">
        <color rgb="FF1A3C6E"/>
      </bottom>
      <diagonal/>
    </border>
    <border diagonalUp="false" diagonalDown="false">
      <left style="thin">
        <color rgb="FF991B1B"/>
      </left>
      <right style="thin">
        <color rgb="FF991B1B"/>
      </right>
      <top style="thin">
        <color rgb="FF991B1B"/>
      </top>
      <bottom style="thin">
        <color rgb="FF991B1B"/>
      </bottom>
      <diagonal/>
    </border>
    <border diagonalUp="false" diagonalDown="false">
      <left/>
      <right/>
      <top/>
      <bottom style="thin">
        <color rgb="FFE2E8F0"/>
      </bottom>
      <diagonal/>
    </border>
    <border diagonalUp="false" diagonalDown="false">
      <left style="thin">
        <color rgb="FF92400E"/>
      </left>
      <right style="thin">
        <color rgb="FF92400E"/>
      </right>
      <top style="thin">
        <color rgb="FF92400E"/>
      </top>
      <bottom style="thin">
        <color rgb="FF92400E"/>
      </bottom>
      <diagonal/>
    </border>
    <border diagonalUp="false" diagonalDown="false">
      <left style="thin">
        <color rgb="FF065F46"/>
      </left>
      <right style="thin">
        <color rgb="FF065F46"/>
      </right>
      <top style="thin">
        <color rgb="FF065F46"/>
      </top>
      <bottom style="thin">
        <color rgb="FF065F46"/>
      </bottom>
      <diagonal/>
    </border>
    <border diagonalUp="false" diagonalDown="false">
      <left style="thin">
        <color rgb="FF4C1D95"/>
      </left>
      <right style="thin">
        <color rgb="FF4C1D95"/>
      </right>
      <top style="thin">
        <color rgb="FF4C1D95"/>
      </top>
      <bottom style="thin">
        <color rgb="FF4C1D95"/>
      </bottom>
      <diagonal/>
    </border>
    <border diagonalUp="false" diagonalDown="false">
      <left style="thin">
        <color rgb="FF2563B0"/>
      </left>
      <right style="thin">
        <color rgb="FF2563B0"/>
      </right>
      <top style="thin">
        <color rgb="FF2563B0"/>
      </top>
      <bottom style="thin">
        <color rgb="FF2563B0"/>
      </bottom>
      <diagonal/>
    </border>
    <border diagonalUp="false" diagonalDown="false">
      <left style="thin">
        <color rgb="FF0D6E6E"/>
      </left>
      <right style="thin">
        <color rgb="FF0D6E6E"/>
      </right>
      <top style="thin">
        <color rgb="FF0D6E6E"/>
      </top>
      <bottom style="thin">
        <color rgb="FF0D6E6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9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2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1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1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2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1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1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2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2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1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1F5F9"/>
      <rgbColor rgb="FFFF00FF"/>
      <rgbColor rgb="FF00FFFF"/>
      <rgbColor rgb="FF991B1B"/>
      <rgbColor rgb="FF008000"/>
      <rgbColor rgb="FF000080"/>
      <rgbColor rgb="FF808000"/>
      <rgbColor rgb="FF800080"/>
      <rgbColor rgb="FF0D6E6E"/>
      <rgbColor rgb="FF94A3B8"/>
      <rgbColor rgb="FF878787"/>
      <rgbColor rgb="FF7BA7D4"/>
      <rgbColor rgb="FF993366"/>
      <rgbColor rgb="FFFEF3C7"/>
      <rgbColor rgb="FFCCFBF1"/>
      <rgbColor rgb="FF660066"/>
      <rgbColor rgb="FFFF8080"/>
      <rgbColor rgb="FF2563B0"/>
      <rgbColor rgb="FFD9D9D9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DBEAFE"/>
      <rgbColor rgb="FFD1FAE5"/>
      <rgbColor rgb="FFFEE2E2"/>
      <rgbColor rgb="FFE2E8F0"/>
      <rgbColor rgb="FFE8EDF5"/>
      <rgbColor rgb="FFEDE9FE"/>
      <rgbColor rgb="FFFFB3B3"/>
      <rgbColor rgb="FF3366FF"/>
      <rgbColor rgb="FF33CCCC"/>
      <rgbColor rgb="FF99CC00"/>
      <rgbColor rgb="FFFFC107"/>
      <rgbColor rgb="FFFF9900"/>
      <rgbColor rgb="FFF44336"/>
      <rgbColor rgb="FF4F81BD"/>
      <rgbColor rgb="FF9E9E9E"/>
      <rgbColor rgb="FF1A3C6E"/>
      <rgbColor rgb="FF4CAF50"/>
      <rgbColor rgb="FF0A1628"/>
      <rgbColor rgb="FF334155"/>
      <rgbColor rgb="FF92400E"/>
      <rgbColor rgb="FF993366"/>
      <rgbColor rgb="FF4C1D9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Water Supply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'Charts &amp; Data'!C6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caf50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44336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c107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'Charts &amp; Data'!$B$7:$B$9</c:f>
              <c:strCache>
                <c:ptCount val="3"/>
                <c:pt idx="0">
                  <c:v>Daily Supply ✓</c:v>
                </c:pt>
                <c:pt idx="1">
                  <c:v>Irregular/No Supply ✗</c:v>
                </c:pt>
                <c:pt idx="2">
                  <c:v>Unknown</c:v>
                </c:pt>
              </c:strCache>
            </c:strRef>
          </c:cat>
          <c:val>
            <c:numRef>
              <c:f>'Charts &amp; Data'!$C$7:$C$9</c:f>
              <c:numCache>
                <c:formatCode>General</c:formatCode>
                <c:ptCount val="3"/>
                <c:pt idx="0">
                  <c:v>619</c:v>
                </c:pt>
                <c:pt idx="1">
                  <c:v>1136</c:v>
                </c:pt>
                <c:pt idx="2">
                  <c:v>979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Call Duration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'Charts &amp; Data'!C14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2563b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&amp; Data'!$B$15:$B$23</c:f>
              <c:strCache>
                <c:ptCount val="9"/>
                <c:pt idx="0">
                  <c:v>0-15 sec</c:v>
                </c:pt>
                <c:pt idx="1">
                  <c:v>15-30 sec</c:v>
                </c:pt>
                <c:pt idx="2">
                  <c:v>30-60 sec</c:v>
                </c:pt>
                <c:pt idx="3">
                  <c:v>60-90 sec</c:v>
                </c:pt>
                <c:pt idx="4">
                  <c:v>90-120 sec</c:v>
                </c:pt>
                <c:pt idx="5">
                  <c:v>120-150 sec</c:v>
                </c:pt>
                <c:pt idx="6">
                  <c:v>150-200 sec</c:v>
                </c:pt>
                <c:pt idx="7">
                  <c:v>200-300 sec</c:v>
                </c:pt>
                <c:pt idx="8">
                  <c:v>300+ sec</c:v>
                </c:pt>
              </c:strCache>
            </c:strRef>
          </c:cat>
          <c:val>
            <c:numRef>
              <c:f>'Charts &amp; Data'!$C$15:$C$23</c:f>
              <c:numCache>
                <c:formatCode>General</c:formatCode>
                <c:ptCount val="9"/>
                <c:pt idx="0">
                  <c:v>2387</c:v>
                </c:pt>
                <c:pt idx="1">
                  <c:v>1299</c:v>
                </c:pt>
                <c:pt idx="2">
                  <c:v>1599</c:v>
                </c:pt>
                <c:pt idx="3">
                  <c:v>948</c:v>
                </c:pt>
                <c:pt idx="4">
                  <c:v>551</c:v>
                </c:pt>
                <c:pt idx="5">
                  <c:v>376</c:v>
                </c:pt>
                <c:pt idx="6">
                  <c:v>485</c:v>
                </c:pt>
                <c:pt idx="7">
                  <c:v>344</c:v>
                </c:pt>
                <c:pt idx="8">
                  <c:v>76</c:v>
                </c:pt>
              </c:numCache>
            </c:numRef>
          </c:val>
        </c:ser>
        <c:gapWidth val="150"/>
        <c:overlap val="0"/>
        <c:axId val="70450606"/>
        <c:axId val="18254268"/>
      </c:barChart>
      <c:catAx>
        <c:axId val="704506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Duration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254268"/>
        <c:crosses val="autoZero"/>
        <c:auto val="1"/>
        <c:lblAlgn val="ctr"/>
        <c:lblOffset val="100"/>
        <c:noMultiLvlLbl val="0"/>
      </c:catAx>
      <c:valAx>
        <c:axId val="182542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Calls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4506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Satisfaction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'Charts &amp; Data'!C27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caf50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c107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44336"/>
              </a:solidFill>
              <a:ln w="0">
                <a:noFill/>
              </a:ln>
            </c:spPr>
          </c:dPt>
          <c:dPt>
            <c:idx val="3"/>
            <c:spPr>
              <a:solidFill>
                <a:srgbClr val="9e9e9e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'Charts &amp; Data'!$B$28:$B$31</c:f>
              <c:strCache>
                <c:ptCount val="4"/>
                <c:pt idx="0">
                  <c:v>Satisfied</c:v>
                </c:pt>
                <c:pt idx="1">
                  <c:v>Neutral</c:v>
                </c:pt>
                <c:pt idx="2">
                  <c:v>Dissatisfied</c:v>
                </c:pt>
                <c:pt idx="3">
                  <c:v>Unknown</c:v>
                </c:pt>
              </c:strCache>
            </c:strRef>
          </c:cat>
          <c:val>
            <c:numRef>
              <c:f>'Charts &amp; Data'!$C$28:$C$31</c:f>
              <c:numCache>
                <c:formatCode>General</c:formatCode>
                <c:ptCount val="4"/>
                <c:pt idx="0">
                  <c:v>495</c:v>
                </c:pt>
                <c:pt idx="1">
                  <c:v>249</c:v>
                </c:pt>
                <c:pt idx="2">
                  <c:v>193</c:v>
                </c:pt>
                <c:pt idx="3">
                  <c:v>1809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Citizen Complaint Themes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'Charts &amp; Data'!C35</c:f>
              <c:strCache>
                <c:ptCount val="1"/>
                <c:pt idx="0">
                  <c:v>Calls</c:v>
                </c:pt>
              </c:strCache>
            </c:strRef>
          </c:tx>
          <c:spPr>
            <a:solidFill>
              <a:srgbClr val="0d6e6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&amp; Data'!$B$36:$B$42</c:f>
              <c:strCache>
                <c:ptCount val="7"/>
                <c:pt idx="0">
                  <c:v>Positive / Satisfied</c:v>
                </c:pt>
                <c:pt idx="1">
                  <c:v>Pipe Damage</c:v>
                </c:pt>
                <c:pt idx="2">
                  <c:v>Electricity Failure</c:v>
                </c:pt>
                <c:pt idx="3">
                  <c:v>Water Quality</c:v>
                </c:pt>
                <c:pt idx="4">
                  <c:v>Billing Queries</c:v>
                </c:pt>
                <c:pt idx="5">
                  <c:v>Timing Issues</c:v>
                </c:pt>
                <c:pt idx="6">
                  <c:v>Governance</c:v>
                </c:pt>
              </c:strCache>
            </c:strRef>
          </c:cat>
          <c:val>
            <c:numRef>
              <c:f>'Charts &amp; Data'!$C$36:$C$42</c:f>
              <c:numCache>
                <c:formatCode>General</c:formatCode>
                <c:ptCount val="7"/>
                <c:pt idx="0">
                  <c:v>261</c:v>
                </c:pt>
                <c:pt idx="1">
                  <c:v>147</c:v>
                </c:pt>
                <c:pt idx="2">
                  <c:v>143</c:v>
                </c:pt>
                <c:pt idx="3">
                  <c:v>105</c:v>
                </c:pt>
                <c:pt idx="4">
                  <c:v>88</c:v>
                </c:pt>
                <c:pt idx="5">
                  <c:v>33</c:v>
                </c:pt>
                <c:pt idx="6">
                  <c:v>14</c:v>
                </c:pt>
              </c:numCache>
            </c:numRef>
          </c:val>
        </c:ser>
        <c:gapWidth val="150"/>
        <c:overlap val="0"/>
        <c:axId val="26344466"/>
        <c:axId val="52398881"/>
      </c:barChart>
      <c:catAx>
        <c:axId val="26344466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398881"/>
        <c:crosses val="autoZero"/>
        <c:auto val="1"/>
        <c:lblAlgn val="ctr"/>
        <c:lblOffset val="100"/>
        <c:noMultiLvlLbl val="0"/>
      </c:catAx>
      <c:valAx>
        <c:axId val="523988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3444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Field Extraction Accuracy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'Charts &amp; Data'!C46</c:f>
              <c:strCache>
                <c:ptCount val="1"/>
                <c:pt idx="0">
                  <c:v>Rate %</c:v>
                </c:pt>
              </c:strCache>
            </c:strRef>
          </c:tx>
          <c:spPr>
            <a:solidFill>
              <a:srgbClr val="065f4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&amp; Data'!$B$47:$B$53</c:f>
              <c:strCache>
                <c:ptCount val="7"/>
                <c:pt idx="0">
                  <c:v>Consent</c:v>
                </c:pt>
                <c:pt idx="1">
                  <c:v>Water Received Daily</c:v>
                </c:pt>
                <c:pt idx="2">
                  <c:v>Quantity Satisfied</c:v>
                </c:pt>
                <c:pt idx="3">
                  <c:v>Quality Satisfied</c:v>
                </c:pt>
                <c:pt idx="4">
                  <c:v>Overall Satisfaction</c:v>
                </c:pt>
                <c:pt idx="5">
                  <c:v>Supply Scope</c:v>
                </c:pt>
                <c:pt idx="6">
                  <c:v>Days Without Water</c:v>
                </c:pt>
              </c:strCache>
            </c:strRef>
          </c:cat>
          <c:val>
            <c:numRef>
              <c:f>'Charts &amp; Data'!$C$47:$C$53</c:f>
              <c:numCache>
                <c:formatCode>General</c:formatCode>
                <c:ptCount val="7"/>
                <c:pt idx="0">
                  <c:v>97.6</c:v>
                </c:pt>
                <c:pt idx="1">
                  <c:v>63.1</c:v>
                </c:pt>
                <c:pt idx="2">
                  <c:v>36.8</c:v>
                </c:pt>
                <c:pt idx="3">
                  <c:v>34.6</c:v>
                </c:pt>
                <c:pt idx="4">
                  <c:v>33.7</c:v>
                </c:pt>
                <c:pt idx="5">
                  <c:v>33.4</c:v>
                </c:pt>
                <c:pt idx="6">
                  <c:v>10.5</c:v>
                </c:pt>
              </c:numCache>
            </c:numRef>
          </c:val>
        </c:ser>
        <c:gapWidth val="150"/>
        <c:overlap val="0"/>
        <c:axId val="11325879"/>
        <c:axId val="79215744"/>
      </c:barChart>
      <c:catAx>
        <c:axId val="11325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215744"/>
        <c:crosses val="autoZero"/>
        <c:auto val="1"/>
        <c:lblAlgn val="ctr"/>
        <c:lblOffset val="100"/>
        <c:noMultiLvlLbl val="0"/>
      </c:catAx>
      <c:valAx>
        <c:axId val="792157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3258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4</xdr:row>
      <xdr:rowOff>0</xdr:rowOff>
    </xdr:from>
    <xdr:to>
      <xdr:col>9</xdr:col>
      <xdr:colOff>90360</xdr:colOff>
      <xdr:row>21</xdr:row>
      <xdr:rowOff>104040</xdr:rowOff>
    </xdr:to>
    <xdr:graphicFrame>
      <xdr:nvGraphicFramePr>
        <xdr:cNvPr id="0" name="Chart 1"/>
        <xdr:cNvGraphicFramePr/>
      </xdr:nvGraphicFramePr>
      <xdr:xfrm>
        <a:off x="3207240" y="790560"/>
        <a:ext cx="43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18</xdr:row>
      <xdr:rowOff>0</xdr:rowOff>
    </xdr:from>
    <xdr:to>
      <xdr:col>11</xdr:col>
      <xdr:colOff>558720</xdr:colOff>
      <xdr:row>39</xdr:row>
      <xdr:rowOff>42840</xdr:rowOff>
    </xdr:to>
    <xdr:graphicFrame>
      <xdr:nvGraphicFramePr>
        <xdr:cNvPr id="1" name="Chart 2"/>
        <xdr:cNvGraphicFramePr/>
      </xdr:nvGraphicFramePr>
      <xdr:xfrm>
        <a:off x="3207240" y="368604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34</xdr:row>
      <xdr:rowOff>0</xdr:rowOff>
    </xdr:from>
    <xdr:to>
      <xdr:col>9</xdr:col>
      <xdr:colOff>90360</xdr:colOff>
      <xdr:row>51</xdr:row>
      <xdr:rowOff>132480</xdr:rowOff>
    </xdr:to>
    <xdr:graphicFrame>
      <xdr:nvGraphicFramePr>
        <xdr:cNvPr id="2" name="Chart 3"/>
        <xdr:cNvGraphicFramePr/>
      </xdr:nvGraphicFramePr>
      <xdr:xfrm>
        <a:off x="3207240" y="6934320"/>
        <a:ext cx="43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0</xdr:colOff>
      <xdr:row>48</xdr:row>
      <xdr:rowOff>0</xdr:rowOff>
    </xdr:from>
    <xdr:to>
      <xdr:col>11</xdr:col>
      <xdr:colOff>558720</xdr:colOff>
      <xdr:row>70</xdr:row>
      <xdr:rowOff>81000</xdr:rowOff>
    </xdr:to>
    <xdr:graphicFrame>
      <xdr:nvGraphicFramePr>
        <xdr:cNvPr id="3" name="Chart 4"/>
        <xdr:cNvGraphicFramePr/>
      </xdr:nvGraphicFramePr>
      <xdr:xfrm>
        <a:off x="3207240" y="980136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</xdr:col>
      <xdr:colOff>0</xdr:colOff>
      <xdr:row>61</xdr:row>
      <xdr:rowOff>0</xdr:rowOff>
    </xdr:from>
    <xdr:to>
      <xdr:col>11</xdr:col>
      <xdr:colOff>558720</xdr:colOff>
      <xdr:row>83</xdr:row>
      <xdr:rowOff>128520</xdr:rowOff>
    </xdr:to>
    <xdr:graphicFrame>
      <xdr:nvGraphicFramePr>
        <xdr:cNvPr id="4" name="Chart 5"/>
        <xdr:cNvGraphicFramePr/>
      </xdr:nvGraphicFramePr>
      <xdr:xfrm>
        <a:off x="3207240" y="1232532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1628"/>
    <pageSetUpPr fitToPage="false"/>
  </sheetPr>
  <dimension ref="A1:N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14"/>
    <col collapsed="false" customWidth="true" hidden="false" outlineLevel="0" max="6" min="3" style="0" width="13"/>
    <col collapsed="false" customWidth="true" hidden="false" outlineLevel="0" max="7" min="7" style="0" width="14"/>
    <col collapsed="false" customWidth="true" hidden="false" outlineLevel="0" max="11" min="8" style="0" width="13"/>
    <col collapsed="false" customWidth="true" hidden="false" outlineLevel="0" max="12" min="12" style="0" width="14"/>
  </cols>
  <sheetData>
    <row r="1" customFormat="false" ht="6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9.7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1.75" hidden="false" customHeight="true" outlineLevel="0" collapsed="false">
      <c r="A3" s="1"/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3" hidden="false" customHeight="true" outlineLevel="0" collapsed="false">
      <c r="A4" s="1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9.75" hidden="false" customHeight="true" outlineLevel="0" collapsed="false"/>
    <row r="6" customFormat="false" ht="19.5" hidden="false" customHeight="true" outlineLevel="0" collapsed="false"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</row>
    <row r="8" customFormat="false" ht="42" hidden="false" customHeight="true" outlineLevel="0" collapsed="false">
      <c r="B8" s="6" t="s">
        <v>3</v>
      </c>
      <c r="C8" s="6"/>
      <c r="D8" s="7" t="s">
        <v>4</v>
      </c>
      <c r="E8" s="7"/>
      <c r="F8" s="8" t="s">
        <v>5</v>
      </c>
      <c r="G8" s="8"/>
      <c r="H8" s="9" t="s">
        <v>6</v>
      </c>
      <c r="I8" s="9"/>
      <c r="J8" s="10" t="s">
        <v>7</v>
      </c>
      <c r="K8" s="10"/>
    </row>
    <row r="9" customFormat="false" ht="15.75" hidden="false" customHeight="true" outlineLevel="0" collapsed="false">
      <c r="B9" s="11" t="s">
        <v>8</v>
      </c>
      <c r="C9" s="11"/>
      <c r="D9" s="12" t="s">
        <v>9</v>
      </c>
      <c r="E9" s="12"/>
      <c r="F9" s="13" t="s">
        <v>10</v>
      </c>
      <c r="G9" s="13"/>
      <c r="H9" s="14" t="s">
        <v>11</v>
      </c>
      <c r="I9" s="14"/>
      <c r="J9" s="15" t="s">
        <v>12</v>
      </c>
      <c r="K9" s="15"/>
    </row>
    <row r="10" customFormat="false" ht="13.5" hidden="false" customHeight="true" outlineLevel="0" collapsed="false">
      <c r="B10" s="16" t="s">
        <v>13</v>
      </c>
      <c r="C10" s="16"/>
      <c r="D10" s="17" t="s">
        <v>14</v>
      </c>
      <c r="E10" s="17"/>
      <c r="F10" s="18" t="s">
        <v>15</v>
      </c>
      <c r="G10" s="18"/>
      <c r="H10" s="19" t="s">
        <v>16</v>
      </c>
      <c r="I10" s="19"/>
      <c r="J10" s="20" t="s">
        <v>17</v>
      </c>
      <c r="K10" s="20"/>
    </row>
    <row r="11" customFormat="false" ht="7.5" hidden="false" customHeight="true" outlineLevel="0" collapsed="false"/>
    <row r="12" customFormat="false" ht="19.5" hidden="false" customHeight="true" outlineLevel="0" collapsed="false">
      <c r="B12" s="5" t="s">
        <v>18</v>
      </c>
      <c r="C12" s="5"/>
      <c r="D12" s="5"/>
      <c r="E12" s="5"/>
      <c r="F12" s="5"/>
      <c r="G12" s="5"/>
      <c r="H12" s="5"/>
      <c r="I12" s="5"/>
      <c r="J12" s="5"/>
      <c r="K12" s="5"/>
      <c r="L12" s="5"/>
    </row>
    <row r="13" customFormat="false" ht="13.5" hidden="false" customHeight="true" outlineLevel="0" collapsed="false"/>
    <row r="14" customFormat="false" ht="15.75" hidden="false" customHeight="true" outlineLevel="0" collapsed="false">
      <c r="B14" s="21" t="s">
        <v>19</v>
      </c>
      <c r="C14" s="22" t="s">
        <v>20</v>
      </c>
      <c r="D14" s="23"/>
      <c r="E14" s="23"/>
      <c r="F14" s="23"/>
      <c r="G14" s="23"/>
      <c r="H14" s="23"/>
      <c r="I14" s="23"/>
      <c r="J14" s="23"/>
      <c r="K14" s="23"/>
      <c r="L14" s="24" t="s">
        <v>21</v>
      </c>
      <c r="M14" s="23"/>
      <c r="N14" s="25" t="s">
        <v>22</v>
      </c>
    </row>
    <row r="15" customFormat="false" ht="15.75" hidden="false" customHeight="true" outlineLevel="0" collapsed="false">
      <c r="B15" s="21" t="s">
        <v>23</v>
      </c>
      <c r="C15" s="26" t="s">
        <v>4</v>
      </c>
      <c r="D15" s="27"/>
      <c r="E15" s="28"/>
      <c r="F15" s="28"/>
      <c r="G15" s="28"/>
      <c r="H15" s="28"/>
      <c r="I15" s="28"/>
      <c r="J15" s="28"/>
      <c r="K15" s="28"/>
      <c r="L15" s="24" t="s">
        <v>24</v>
      </c>
      <c r="M15" s="28"/>
      <c r="N15" s="29" t="s">
        <v>25</v>
      </c>
    </row>
    <row r="16" customFormat="false" ht="15.75" hidden="false" customHeight="true" outlineLevel="0" collapsed="false">
      <c r="B16" s="21" t="s">
        <v>26</v>
      </c>
      <c r="C16" s="30" t="s">
        <v>5</v>
      </c>
      <c r="D16" s="31"/>
      <c r="E16" s="31"/>
      <c r="F16" s="31"/>
      <c r="G16" s="28"/>
      <c r="H16" s="28"/>
      <c r="I16" s="28"/>
      <c r="J16" s="28"/>
      <c r="K16" s="28"/>
      <c r="L16" s="24" t="s">
        <v>27</v>
      </c>
      <c r="M16" s="28"/>
      <c r="N16" s="32" t="s">
        <v>28</v>
      </c>
    </row>
    <row r="17" customFormat="false" ht="15.75" hidden="false" customHeight="true" outlineLevel="0" collapsed="false">
      <c r="B17" s="21" t="s">
        <v>29</v>
      </c>
      <c r="C17" s="33" t="s">
        <v>30</v>
      </c>
      <c r="D17" s="34"/>
      <c r="E17" s="34"/>
      <c r="F17" s="34"/>
      <c r="G17" s="34"/>
      <c r="H17" s="34"/>
      <c r="I17" s="34"/>
      <c r="J17" s="34"/>
      <c r="K17" s="28"/>
      <c r="L17" s="24" t="s">
        <v>31</v>
      </c>
      <c r="M17" s="28"/>
      <c r="N17" s="35" t="s">
        <v>6</v>
      </c>
    </row>
    <row r="18" customFormat="false" ht="15.75" hidden="false" customHeight="true" outlineLevel="0" collapsed="false">
      <c r="B18" s="21" t="s">
        <v>32</v>
      </c>
      <c r="C18" s="36" t="s">
        <v>7</v>
      </c>
      <c r="D18" s="37"/>
      <c r="E18" s="28"/>
      <c r="F18" s="28"/>
      <c r="G18" s="28"/>
      <c r="H18" s="28"/>
      <c r="I18" s="28"/>
      <c r="J18" s="28"/>
      <c r="K18" s="28"/>
      <c r="L18" s="24" t="s">
        <v>33</v>
      </c>
      <c r="M18" s="28"/>
      <c r="N18" s="38" t="s">
        <v>34</v>
      </c>
    </row>
    <row r="19" customFormat="false" ht="15.75" hidden="false" customHeight="true" outlineLevel="0" collapsed="false">
      <c r="B19" s="21" t="s">
        <v>35</v>
      </c>
      <c r="C19" s="39" t="s">
        <v>36</v>
      </c>
      <c r="D19" s="40"/>
      <c r="E19" s="28"/>
      <c r="F19" s="28"/>
      <c r="G19" s="28"/>
      <c r="H19" s="28"/>
      <c r="I19" s="28"/>
      <c r="J19" s="28"/>
      <c r="K19" s="28"/>
      <c r="L19" s="24" t="s">
        <v>37</v>
      </c>
      <c r="M19" s="28"/>
      <c r="N19" s="41" t="s">
        <v>38</v>
      </c>
    </row>
    <row r="20" customFormat="false" ht="7.5" hidden="false" customHeight="true" outlineLevel="0" collapsed="false"/>
    <row r="21" customFormat="false" ht="19.5" hidden="false" customHeight="true" outlineLevel="0" collapsed="false">
      <c r="B21" s="5" t="s">
        <v>39</v>
      </c>
      <c r="C21" s="5"/>
      <c r="D21" s="5"/>
      <c r="E21" s="5"/>
      <c r="F21" s="5"/>
      <c r="G21" s="5"/>
      <c r="H21" s="5"/>
      <c r="I21" s="5"/>
      <c r="J21" s="5"/>
      <c r="K21" s="5"/>
      <c r="L21" s="5"/>
    </row>
    <row r="22" customFormat="false" ht="7.5" hidden="false" customHeight="true" outlineLevel="0" collapsed="false"/>
    <row r="23" customFormat="false" ht="42" hidden="false" customHeight="true" outlineLevel="0" collapsed="false">
      <c r="B23" s="9" t="s">
        <v>40</v>
      </c>
      <c r="C23" s="9"/>
      <c r="D23" s="42" t="s">
        <v>41</v>
      </c>
      <c r="E23" s="42"/>
      <c r="F23" s="43" t="s">
        <v>42</v>
      </c>
      <c r="G23" s="43"/>
      <c r="H23" s="8" t="s">
        <v>43</v>
      </c>
      <c r="I23" s="8"/>
      <c r="J23" s="10" t="s">
        <v>44</v>
      </c>
      <c r="K23" s="10"/>
    </row>
    <row r="24" customFormat="false" ht="15.75" hidden="false" customHeight="true" outlineLevel="0" collapsed="false">
      <c r="B24" s="44" t="s">
        <v>45</v>
      </c>
      <c r="C24" s="44"/>
      <c r="D24" s="45" t="s">
        <v>46</v>
      </c>
      <c r="E24" s="45"/>
      <c r="F24" s="46" t="s">
        <v>47</v>
      </c>
      <c r="G24" s="46"/>
      <c r="H24" s="47" t="s">
        <v>48</v>
      </c>
      <c r="I24" s="47"/>
      <c r="J24" s="48" t="s">
        <v>49</v>
      </c>
      <c r="K24" s="48"/>
    </row>
    <row r="25" customFormat="false" ht="13.5" hidden="false" customHeight="true" outlineLevel="0" collapsed="false">
      <c r="B25" s="19" t="s">
        <v>50</v>
      </c>
      <c r="C25" s="19"/>
      <c r="D25" s="49" t="s">
        <v>51</v>
      </c>
      <c r="E25" s="49"/>
      <c r="F25" s="50" t="s">
        <v>52</v>
      </c>
      <c r="G25" s="50"/>
      <c r="H25" s="18" t="s">
        <v>53</v>
      </c>
      <c r="I25" s="18"/>
      <c r="J25" s="20" t="s">
        <v>54</v>
      </c>
      <c r="K25" s="20"/>
    </row>
    <row r="26" customFormat="false" ht="7.5" hidden="false" customHeight="true" outlineLevel="0" collapsed="false"/>
    <row r="27" customFormat="false" ht="7.5" hidden="false" customHeight="true" outlineLevel="0" collapsed="false"/>
    <row r="28" customFormat="false" ht="21.75" hidden="false" customHeight="true" outlineLevel="0" collapsed="false">
      <c r="B28" s="51" t="s">
        <v>55</v>
      </c>
      <c r="C28" s="51"/>
      <c r="D28" s="51"/>
      <c r="E28" s="51"/>
      <c r="F28" s="51"/>
      <c r="G28" s="51"/>
      <c r="H28" s="51"/>
      <c r="I28" s="51"/>
      <c r="J28" s="51"/>
      <c r="K28" s="51"/>
      <c r="L28" s="51"/>
    </row>
    <row r="29" customFormat="false" ht="18" hidden="false" customHeight="true" outlineLevel="0" collapsed="false">
      <c r="B29" s="52" t="s">
        <v>56</v>
      </c>
      <c r="C29" s="53" t="s">
        <v>57</v>
      </c>
      <c r="D29" s="53"/>
      <c r="E29" s="53"/>
      <c r="F29" s="53"/>
      <c r="G29" s="53"/>
      <c r="H29" s="53"/>
      <c r="I29" s="53"/>
      <c r="J29" s="53"/>
      <c r="K29" s="53"/>
      <c r="L29" s="53"/>
    </row>
    <row r="30" customFormat="false" ht="18" hidden="false" customHeight="true" outlineLevel="0" collapsed="false">
      <c r="B30" s="54" t="s">
        <v>58</v>
      </c>
      <c r="C30" s="53" t="s">
        <v>59</v>
      </c>
      <c r="D30" s="53"/>
      <c r="E30" s="53"/>
      <c r="F30" s="53"/>
      <c r="G30" s="53"/>
      <c r="H30" s="53"/>
      <c r="I30" s="53"/>
      <c r="J30" s="53"/>
      <c r="K30" s="53"/>
      <c r="L30" s="53"/>
    </row>
    <row r="31" customFormat="false" ht="18" hidden="false" customHeight="true" outlineLevel="0" collapsed="false">
      <c r="B31" s="55" t="s">
        <v>58</v>
      </c>
      <c r="C31" s="53" t="s">
        <v>60</v>
      </c>
      <c r="D31" s="53"/>
      <c r="E31" s="53"/>
      <c r="F31" s="53"/>
      <c r="G31" s="53"/>
      <c r="H31" s="53"/>
      <c r="I31" s="53"/>
      <c r="J31" s="53"/>
      <c r="K31" s="53"/>
      <c r="L31" s="53"/>
    </row>
    <row r="32" customFormat="false" ht="18" hidden="false" customHeight="true" outlineLevel="0" collapsed="false">
      <c r="B32" s="56" t="s">
        <v>56</v>
      </c>
      <c r="C32" s="53" t="s">
        <v>61</v>
      </c>
      <c r="D32" s="53"/>
      <c r="E32" s="53"/>
      <c r="F32" s="53"/>
      <c r="G32" s="53"/>
      <c r="H32" s="53"/>
      <c r="I32" s="53"/>
      <c r="J32" s="53"/>
      <c r="K32" s="53"/>
      <c r="L32" s="53"/>
    </row>
    <row r="33" customFormat="false" ht="18" hidden="false" customHeight="true" outlineLevel="0" collapsed="false">
      <c r="B33" s="57" t="s">
        <v>62</v>
      </c>
      <c r="C33" s="53" t="s">
        <v>63</v>
      </c>
      <c r="D33" s="53"/>
      <c r="E33" s="53"/>
      <c r="F33" s="53"/>
      <c r="G33" s="53"/>
      <c r="H33" s="53"/>
      <c r="I33" s="53"/>
      <c r="J33" s="53"/>
      <c r="K33" s="53"/>
      <c r="L33" s="53"/>
    </row>
    <row r="34" customFormat="false" ht="18" hidden="false" customHeight="true" outlineLevel="0" collapsed="false">
      <c r="B34" s="58" t="s">
        <v>62</v>
      </c>
      <c r="C34" s="53" t="s">
        <v>64</v>
      </c>
      <c r="D34" s="53"/>
      <c r="E34" s="53"/>
      <c r="F34" s="53"/>
      <c r="G34" s="53"/>
      <c r="H34" s="53"/>
      <c r="I34" s="53"/>
      <c r="J34" s="53"/>
      <c r="K34" s="53"/>
      <c r="L34" s="53"/>
    </row>
    <row r="35" customFormat="false" ht="18" hidden="false" customHeight="true" outlineLevel="0" collapsed="false">
      <c r="B35" s="54" t="s">
        <v>56</v>
      </c>
      <c r="C35" s="53" t="s">
        <v>65</v>
      </c>
      <c r="D35" s="53"/>
      <c r="E35" s="53"/>
      <c r="F35" s="53"/>
      <c r="G35" s="53"/>
      <c r="H35" s="53"/>
      <c r="I35" s="53"/>
      <c r="J35" s="53"/>
      <c r="K35" s="53"/>
      <c r="L35" s="53"/>
    </row>
    <row r="36" customFormat="false" ht="18" hidden="false" customHeight="true" outlineLevel="0" collapsed="false">
      <c r="B36" s="52" t="s">
        <v>56</v>
      </c>
      <c r="C36" s="53" t="s">
        <v>66</v>
      </c>
      <c r="D36" s="53"/>
      <c r="E36" s="53"/>
      <c r="F36" s="53"/>
      <c r="G36" s="53"/>
      <c r="H36" s="53"/>
      <c r="I36" s="53"/>
      <c r="J36" s="53"/>
      <c r="K36" s="53"/>
      <c r="L36" s="53"/>
    </row>
  </sheetData>
  <mergeCells count="44">
    <mergeCell ref="B2:L2"/>
    <mergeCell ref="B3:L3"/>
    <mergeCell ref="B6:L6"/>
    <mergeCell ref="B8:C8"/>
    <mergeCell ref="D8:E8"/>
    <mergeCell ref="F8:G8"/>
    <mergeCell ref="H8:I8"/>
    <mergeCell ref="J8:K8"/>
    <mergeCell ref="B9:C9"/>
    <mergeCell ref="D9:E9"/>
    <mergeCell ref="F9:G9"/>
    <mergeCell ref="H9:I9"/>
    <mergeCell ref="J9:K9"/>
    <mergeCell ref="B10:C10"/>
    <mergeCell ref="D10:E10"/>
    <mergeCell ref="F10:G10"/>
    <mergeCell ref="H10:I10"/>
    <mergeCell ref="J10:K10"/>
    <mergeCell ref="B12:L12"/>
    <mergeCell ref="B21:L21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B28:L28"/>
    <mergeCell ref="C29:L29"/>
    <mergeCell ref="C30:L30"/>
    <mergeCell ref="C31:L31"/>
    <mergeCell ref="C32:L32"/>
    <mergeCell ref="C33:L33"/>
    <mergeCell ref="C34:L34"/>
    <mergeCell ref="C35:L35"/>
    <mergeCell ref="C36:L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6E6E"/>
    <pageSetUpPr fitToPage="false"/>
  </sheetPr>
  <dimension ref="A1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20"/>
    <col collapsed="false" customWidth="true" hidden="false" outlineLevel="0" max="5" min="3" style="0" width="12"/>
    <col collapsed="false" customWidth="true" hidden="false" outlineLevel="0" max="11" min="6" style="0" width="16"/>
  </cols>
  <sheetData>
    <row r="1" customFormat="false" ht="6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3.75" hidden="false" customHeight="true" outlineLevel="0" collapsed="false">
      <c r="A2" s="1"/>
      <c r="B2" s="59" t="s">
        <v>67</v>
      </c>
      <c r="C2" s="59"/>
      <c r="D2" s="59"/>
      <c r="E2" s="59"/>
      <c r="F2" s="59"/>
      <c r="G2" s="59"/>
      <c r="H2" s="59"/>
      <c r="I2" s="59"/>
      <c r="J2" s="59"/>
      <c r="K2" s="59"/>
    </row>
    <row r="3" customFormat="false" ht="7.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7.5" hidden="false" customHeight="true" outlineLevel="0" collapsed="false"/>
    <row r="5" customFormat="false" ht="21.75" hidden="false" customHeight="true" outlineLevel="0" collapsed="false">
      <c r="B5" s="60" t="s">
        <v>68</v>
      </c>
      <c r="C5" s="60"/>
      <c r="D5" s="60"/>
      <c r="E5" s="60"/>
      <c r="F5" s="60"/>
      <c r="G5" s="60"/>
      <c r="H5" s="60"/>
      <c r="I5" s="60"/>
      <c r="J5" s="60"/>
      <c r="K5" s="60"/>
    </row>
    <row r="6" customFormat="false" ht="19.5" hidden="false" customHeight="true" outlineLevel="0" collapsed="false">
      <c r="A6" s="61" t="s">
        <v>69</v>
      </c>
      <c r="B6" s="61" t="s">
        <v>69</v>
      </c>
      <c r="C6" s="61" t="s">
        <v>70</v>
      </c>
      <c r="D6" s="61" t="s">
        <v>71</v>
      </c>
      <c r="E6" s="61" t="s">
        <v>72</v>
      </c>
      <c r="F6" s="61" t="s">
        <v>73</v>
      </c>
      <c r="G6" s="61" t="s">
        <v>74</v>
      </c>
      <c r="H6" s="61" t="s">
        <v>75</v>
      </c>
    </row>
    <row r="7" customFormat="false" ht="21.75" hidden="false" customHeight="true" outlineLevel="0" collapsed="false">
      <c r="B7" s="62" t="s">
        <v>76</v>
      </c>
      <c r="C7" s="63" t="n">
        <v>619</v>
      </c>
      <c r="D7" s="63" t="s">
        <v>40</v>
      </c>
      <c r="E7" s="63" t="s">
        <v>77</v>
      </c>
      <c r="F7" s="64" t="s">
        <v>78</v>
      </c>
      <c r="G7" s="64" t="s">
        <v>79</v>
      </c>
      <c r="H7" s="64"/>
    </row>
    <row r="8" customFormat="false" ht="21.75" hidden="false" customHeight="true" outlineLevel="0" collapsed="false">
      <c r="B8" s="65" t="s">
        <v>80</v>
      </c>
      <c r="C8" s="66" t="n">
        <v>1136</v>
      </c>
      <c r="D8" s="66" t="s">
        <v>41</v>
      </c>
      <c r="E8" s="66" t="s">
        <v>81</v>
      </c>
      <c r="F8" s="67" t="s">
        <v>82</v>
      </c>
      <c r="G8" s="67" t="s">
        <v>83</v>
      </c>
      <c r="H8" s="67"/>
    </row>
    <row r="9" customFormat="false" ht="21.75" hidden="false" customHeight="true" outlineLevel="0" collapsed="false">
      <c r="B9" s="68" t="s">
        <v>84</v>
      </c>
      <c r="C9" s="69" t="n">
        <v>979</v>
      </c>
      <c r="D9" s="69" t="s">
        <v>85</v>
      </c>
      <c r="E9" s="69" t="s">
        <v>86</v>
      </c>
      <c r="F9" s="70" t="s">
        <v>87</v>
      </c>
      <c r="G9" s="70" t="s">
        <v>88</v>
      </c>
      <c r="H9" s="70"/>
    </row>
    <row r="10" customFormat="false" ht="9.75" hidden="false" customHeight="true" outlineLevel="0" collapsed="false"/>
    <row r="11" customFormat="false" ht="21.75" hidden="false" customHeight="true" outlineLevel="0" collapsed="false">
      <c r="B11" s="60" t="s">
        <v>89</v>
      </c>
      <c r="C11" s="60"/>
      <c r="D11" s="60"/>
      <c r="E11" s="60"/>
      <c r="F11" s="60"/>
      <c r="G11" s="60"/>
      <c r="H11" s="60"/>
      <c r="I11" s="60"/>
      <c r="J11" s="60"/>
      <c r="K11" s="60"/>
    </row>
    <row r="12" customFormat="false" ht="19.5" hidden="false" customHeight="true" outlineLevel="0" collapsed="false">
      <c r="A12" s="61" t="s">
        <v>90</v>
      </c>
      <c r="B12" s="61" t="s">
        <v>90</v>
      </c>
      <c r="C12" s="61" t="s">
        <v>70</v>
      </c>
      <c r="D12" s="61" t="s">
        <v>91</v>
      </c>
      <c r="E12" s="61" t="s">
        <v>92</v>
      </c>
      <c r="F12" s="61" t="s">
        <v>93</v>
      </c>
      <c r="G12" s="61" t="s">
        <v>94</v>
      </c>
    </row>
    <row r="13" customFormat="false" ht="18" hidden="false" customHeight="true" outlineLevel="0" collapsed="false">
      <c r="B13" s="71" t="s">
        <v>95</v>
      </c>
      <c r="C13" s="72" t="n">
        <v>25</v>
      </c>
      <c r="D13" s="72" t="s">
        <v>96</v>
      </c>
      <c r="E13" s="73" t="s">
        <v>97</v>
      </c>
      <c r="F13" s="74" t="s">
        <v>98</v>
      </c>
      <c r="G13" s="74" t="s">
        <v>99</v>
      </c>
    </row>
    <row r="14" customFormat="false" ht="18" hidden="false" customHeight="true" outlineLevel="0" collapsed="false">
      <c r="B14" s="75" t="s">
        <v>100</v>
      </c>
      <c r="C14" s="76" t="n">
        <v>80</v>
      </c>
      <c r="D14" s="76" t="s">
        <v>77</v>
      </c>
      <c r="E14" s="77" t="s">
        <v>101</v>
      </c>
      <c r="F14" s="78" t="s">
        <v>102</v>
      </c>
      <c r="G14" s="78" t="s">
        <v>103</v>
      </c>
    </row>
    <row r="15" customFormat="false" ht="18" hidden="false" customHeight="true" outlineLevel="0" collapsed="false">
      <c r="B15" s="71" t="s">
        <v>104</v>
      </c>
      <c r="C15" s="72" t="n">
        <v>51</v>
      </c>
      <c r="D15" s="72" t="s">
        <v>105</v>
      </c>
      <c r="E15" s="77" t="s">
        <v>101</v>
      </c>
      <c r="F15" s="74" t="s">
        <v>106</v>
      </c>
      <c r="G15" s="74" t="s">
        <v>107</v>
      </c>
    </row>
    <row r="16" customFormat="false" ht="18" hidden="false" customHeight="true" outlineLevel="0" collapsed="false">
      <c r="B16" s="75" t="s">
        <v>108</v>
      </c>
      <c r="C16" s="76" t="n">
        <v>30</v>
      </c>
      <c r="D16" s="76" t="s">
        <v>109</v>
      </c>
      <c r="E16" s="79" t="s">
        <v>110</v>
      </c>
      <c r="F16" s="78" t="s">
        <v>111</v>
      </c>
      <c r="G16" s="78" t="s">
        <v>112</v>
      </c>
    </row>
    <row r="17" customFormat="false" ht="18" hidden="false" customHeight="true" outlineLevel="0" collapsed="false">
      <c r="B17" s="71" t="s">
        <v>113</v>
      </c>
      <c r="C17" s="72" t="n">
        <v>20</v>
      </c>
      <c r="D17" s="72" t="s">
        <v>114</v>
      </c>
      <c r="E17" s="79" t="s">
        <v>110</v>
      </c>
      <c r="F17" s="74" t="s">
        <v>115</v>
      </c>
      <c r="G17" s="74" t="s">
        <v>116</v>
      </c>
    </row>
    <row r="18" customFormat="false" ht="18" hidden="false" customHeight="true" outlineLevel="0" collapsed="false">
      <c r="B18" s="75" t="s">
        <v>117</v>
      </c>
      <c r="C18" s="76" t="n">
        <v>5</v>
      </c>
      <c r="D18" s="76" t="s">
        <v>118</v>
      </c>
      <c r="E18" s="80" t="s">
        <v>119</v>
      </c>
      <c r="F18" s="78" t="s">
        <v>120</v>
      </c>
      <c r="G18" s="78" t="s">
        <v>121</v>
      </c>
    </row>
    <row r="19" customFormat="false" ht="18" hidden="false" customHeight="true" outlineLevel="0" collapsed="false">
      <c r="B19" s="71" t="s">
        <v>122</v>
      </c>
      <c r="C19" s="72" t="n">
        <v>82</v>
      </c>
      <c r="D19" s="72" t="s">
        <v>38</v>
      </c>
      <c r="E19" s="80" t="s">
        <v>119</v>
      </c>
      <c r="F19" s="74" t="s">
        <v>123</v>
      </c>
      <c r="G19" s="74" t="s">
        <v>124</v>
      </c>
    </row>
    <row r="20" customFormat="false" ht="18" hidden="false" customHeight="true" outlineLevel="0" collapsed="false">
      <c r="B20" s="75" t="s">
        <v>125</v>
      </c>
      <c r="C20" s="76" t="n">
        <v>843</v>
      </c>
      <c r="D20" s="76" t="s">
        <v>126</v>
      </c>
      <c r="E20" s="81" t="s">
        <v>127</v>
      </c>
      <c r="F20" s="78" t="s">
        <v>128</v>
      </c>
      <c r="G20" s="78" t="s">
        <v>129</v>
      </c>
    </row>
    <row r="21" customFormat="false" ht="9.75" hidden="false" customHeight="true" outlineLevel="0" collapsed="false"/>
    <row r="22" customFormat="false" ht="21.75" hidden="false" customHeight="true" outlineLevel="0" collapsed="false">
      <c r="B22" s="60" t="s">
        <v>130</v>
      </c>
      <c r="C22" s="60"/>
      <c r="D22" s="60"/>
      <c r="E22" s="60"/>
      <c r="F22" s="60"/>
      <c r="G22" s="60"/>
      <c r="H22" s="60"/>
      <c r="I22" s="60"/>
      <c r="J22" s="60"/>
      <c r="K22" s="60"/>
    </row>
    <row r="23" customFormat="false" ht="19.5" hidden="false" customHeight="true" outlineLevel="0" collapsed="false">
      <c r="B23" s="61" t="s">
        <v>131</v>
      </c>
      <c r="C23" s="61" t="s">
        <v>132</v>
      </c>
      <c r="D23" s="61" t="s">
        <v>71</v>
      </c>
      <c r="E23" s="61" t="s">
        <v>133</v>
      </c>
      <c r="F23" s="61" t="s">
        <v>134</v>
      </c>
    </row>
    <row r="24" customFormat="false" ht="21.75" hidden="false" customHeight="true" outlineLevel="0" collapsed="false">
      <c r="B24" s="65" t="s">
        <v>135</v>
      </c>
      <c r="C24" s="72" t="n">
        <v>147</v>
      </c>
      <c r="D24" s="66" t="s">
        <v>136</v>
      </c>
      <c r="E24" s="72" t="s">
        <v>137</v>
      </c>
      <c r="F24" s="74" t="s">
        <v>138</v>
      </c>
    </row>
    <row r="25" customFormat="false" ht="21.75" hidden="false" customHeight="true" outlineLevel="0" collapsed="false">
      <c r="B25" s="68" t="s">
        <v>139</v>
      </c>
      <c r="C25" s="72" t="n">
        <v>143</v>
      </c>
      <c r="D25" s="69" t="s">
        <v>140</v>
      </c>
      <c r="E25" s="72" t="s">
        <v>141</v>
      </c>
      <c r="F25" s="74" t="s">
        <v>142</v>
      </c>
    </row>
    <row r="26" customFormat="false" ht="21.75" hidden="false" customHeight="true" outlineLevel="0" collapsed="false">
      <c r="B26" s="82" t="s">
        <v>143</v>
      </c>
      <c r="C26" s="72" t="n">
        <v>105</v>
      </c>
      <c r="D26" s="83" t="s">
        <v>144</v>
      </c>
      <c r="E26" s="72" t="s">
        <v>145</v>
      </c>
      <c r="F26" s="74" t="s">
        <v>146</v>
      </c>
    </row>
    <row r="27" customFormat="false" ht="21.75" hidden="false" customHeight="true" outlineLevel="0" collapsed="false">
      <c r="B27" s="84" t="s">
        <v>147</v>
      </c>
      <c r="C27" s="72" t="n">
        <v>88</v>
      </c>
      <c r="D27" s="85" t="s">
        <v>148</v>
      </c>
      <c r="E27" s="72" t="s">
        <v>149</v>
      </c>
      <c r="F27" s="74" t="s">
        <v>150</v>
      </c>
    </row>
    <row r="28" customFormat="false" ht="21.75" hidden="false" customHeight="true" outlineLevel="0" collapsed="false">
      <c r="B28" s="65" t="s">
        <v>151</v>
      </c>
      <c r="C28" s="72" t="n">
        <v>14</v>
      </c>
      <c r="D28" s="66" t="s">
        <v>152</v>
      </c>
      <c r="E28" s="72" t="s">
        <v>153</v>
      </c>
      <c r="F28" s="74" t="s">
        <v>154</v>
      </c>
    </row>
    <row r="29" customFormat="false" ht="21.75" hidden="false" customHeight="true" outlineLevel="0" collapsed="false">
      <c r="B29" s="62" t="s">
        <v>155</v>
      </c>
      <c r="C29" s="72" t="n">
        <v>261</v>
      </c>
      <c r="D29" s="63" t="s">
        <v>156</v>
      </c>
      <c r="E29" s="72" t="s">
        <v>157</v>
      </c>
      <c r="F29" s="74" t="s">
        <v>158</v>
      </c>
    </row>
  </sheetData>
  <mergeCells count="4">
    <mergeCell ref="B2:K2"/>
    <mergeCell ref="B5:K5"/>
    <mergeCell ref="B11:K11"/>
    <mergeCell ref="B22:K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1D95"/>
    <pageSetUpPr fitToPage="fals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22"/>
    <col collapsed="false" customWidth="true" hidden="false" outlineLevel="0" max="7" min="7" style="0" width="18"/>
  </cols>
  <sheetData>
    <row r="1" customFormat="false" ht="6" hidden="false" customHeight="true" outlineLevel="0" collapsed="false">
      <c r="A1" s="1"/>
      <c r="B1" s="1"/>
      <c r="C1" s="1"/>
      <c r="D1" s="1"/>
      <c r="E1" s="1"/>
      <c r="F1" s="1"/>
      <c r="G1" s="1"/>
    </row>
    <row r="2" customFormat="false" ht="33.75" hidden="false" customHeight="true" outlineLevel="0" collapsed="false">
      <c r="A2" s="1"/>
      <c r="B2" s="59" t="s">
        <v>159</v>
      </c>
      <c r="C2" s="59"/>
      <c r="D2" s="59"/>
      <c r="E2" s="59"/>
      <c r="F2" s="59"/>
      <c r="G2" s="59"/>
    </row>
    <row r="3" customFormat="false" ht="7.5" hidden="false" customHeight="true" outlineLevel="0" collapsed="false">
      <c r="A3" s="1"/>
      <c r="B3" s="1"/>
      <c r="C3" s="1"/>
      <c r="D3" s="1"/>
      <c r="E3" s="1"/>
      <c r="F3" s="1"/>
      <c r="G3" s="1"/>
    </row>
    <row r="5" customFormat="false" ht="21.75" hidden="false" customHeight="true" outlineLevel="0" collapsed="false">
      <c r="B5" s="60" t="s">
        <v>160</v>
      </c>
      <c r="C5" s="60"/>
      <c r="D5" s="60"/>
      <c r="E5" s="60"/>
      <c r="F5" s="60"/>
      <c r="G5" s="60"/>
    </row>
    <row r="6" customFormat="false" ht="18" hidden="false" customHeight="true" outlineLevel="0" collapsed="false">
      <c r="B6" s="61" t="s">
        <v>161</v>
      </c>
      <c r="C6" s="61" t="s">
        <v>162</v>
      </c>
      <c r="D6" s="61" t="s">
        <v>163</v>
      </c>
      <c r="E6" s="61" t="s">
        <v>164</v>
      </c>
      <c r="F6" s="61" t="s">
        <v>165</v>
      </c>
      <c r="G6" s="61" t="s">
        <v>166</v>
      </c>
    </row>
    <row r="7" customFormat="false" ht="25.5" hidden="false" customHeight="true" outlineLevel="0" collapsed="false">
      <c r="B7" s="71" t="s">
        <v>167</v>
      </c>
      <c r="C7" s="74" t="s">
        <v>168</v>
      </c>
      <c r="D7" s="72" t="s">
        <v>169</v>
      </c>
      <c r="E7" s="72" t="s">
        <v>170</v>
      </c>
      <c r="F7" s="86" t="s">
        <v>171</v>
      </c>
      <c r="G7" s="74" t="s">
        <v>172</v>
      </c>
    </row>
    <row r="8" customFormat="false" ht="25.5" hidden="false" customHeight="true" outlineLevel="0" collapsed="false">
      <c r="B8" s="75" t="s">
        <v>173</v>
      </c>
      <c r="C8" s="78" t="s">
        <v>174</v>
      </c>
      <c r="D8" s="76" t="s">
        <v>175</v>
      </c>
      <c r="E8" s="76" t="s">
        <v>110</v>
      </c>
      <c r="F8" s="87" t="s">
        <v>176</v>
      </c>
      <c r="G8" s="78" t="s">
        <v>177</v>
      </c>
    </row>
    <row r="9" customFormat="false" ht="25.5" hidden="false" customHeight="true" outlineLevel="0" collapsed="false">
      <c r="B9" s="71" t="s">
        <v>178</v>
      </c>
      <c r="C9" s="74" t="s">
        <v>179</v>
      </c>
      <c r="D9" s="72" t="s">
        <v>180</v>
      </c>
      <c r="E9" s="72" t="s">
        <v>170</v>
      </c>
      <c r="F9" s="86" t="s">
        <v>181</v>
      </c>
      <c r="G9" s="74" t="s">
        <v>182</v>
      </c>
    </row>
    <row r="10" customFormat="false" ht="25.5" hidden="false" customHeight="true" outlineLevel="0" collapsed="false">
      <c r="B10" s="75" t="s">
        <v>183</v>
      </c>
      <c r="C10" s="78" t="s">
        <v>184</v>
      </c>
      <c r="D10" s="76" t="s">
        <v>185</v>
      </c>
      <c r="E10" s="76" t="s">
        <v>110</v>
      </c>
      <c r="F10" s="87" t="s">
        <v>186</v>
      </c>
      <c r="G10" s="78" t="s">
        <v>187</v>
      </c>
    </row>
    <row r="11" customFormat="false" ht="25.5" hidden="false" customHeight="true" outlineLevel="0" collapsed="false">
      <c r="B11" s="71" t="s">
        <v>188</v>
      </c>
      <c r="C11" s="74" t="s">
        <v>189</v>
      </c>
      <c r="D11" s="72" t="s">
        <v>175</v>
      </c>
      <c r="E11" s="72" t="s">
        <v>110</v>
      </c>
      <c r="F11" s="87" t="s">
        <v>190</v>
      </c>
      <c r="G11" s="74" t="s">
        <v>191</v>
      </c>
    </row>
    <row r="12" customFormat="false" ht="25.5" hidden="false" customHeight="true" outlineLevel="0" collapsed="false">
      <c r="B12" s="75" t="s">
        <v>192</v>
      </c>
      <c r="C12" s="78" t="s">
        <v>193</v>
      </c>
      <c r="D12" s="76" t="s">
        <v>194</v>
      </c>
      <c r="E12" s="76" t="s">
        <v>195</v>
      </c>
      <c r="F12" s="88" t="s">
        <v>196</v>
      </c>
      <c r="G12" s="78" t="s">
        <v>197</v>
      </c>
    </row>
    <row r="13" customFormat="false" ht="25.5" hidden="false" customHeight="true" outlineLevel="0" collapsed="false">
      <c r="B13" s="71" t="s">
        <v>198</v>
      </c>
      <c r="C13" s="74" t="s">
        <v>199</v>
      </c>
      <c r="D13" s="72" t="s">
        <v>200</v>
      </c>
      <c r="E13" s="72" t="s">
        <v>195</v>
      </c>
      <c r="F13" s="88" t="s">
        <v>201</v>
      </c>
      <c r="G13" s="74" t="s">
        <v>202</v>
      </c>
    </row>
    <row r="14" customFormat="false" ht="25.5" hidden="false" customHeight="true" outlineLevel="0" collapsed="false">
      <c r="B14" s="75" t="s">
        <v>203</v>
      </c>
      <c r="C14" s="78" t="s">
        <v>204</v>
      </c>
      <c r="D14" s="76" t="s">
        <v>175</v>
      </c>
      <c r="E14" s="76" t="s">
        <v>110</v>
      </c>
      <c r="F14" s="87" t="s">
        <v>205</v>
      </c>
      <c r="G14" s="78" t="s">
        <v>206</v>
      </c>
    </row>
    <row r="15" customFormat="false" ht="9.75" hidden="false" customHeight="true" outlineLevel="0" collapsed="false"/>
    <row r="16" customFormat="false" ht="21.75" hidden="false" customHeight="true" outlineLevel="0" collapsed="false">
      <c r="B16" s="60" t="s">
        <v>207</v>
      </c>
      <c r="C16" s="60"/>
      <c r="D16" s="60"/>
      <c r="E16" s="60"/>
      <c r="F16" s="60"/>
      <c r="G16" s="60"/>
    </row>
    <row r="17" customFormat="false" ht="18" hidden="false" customHeight="true" outlineLevel="0" collapsed="false">
      <c r="B17" s="61" t="s">
        <v>208</v>
      </c>
      <c r="C17" s="61" t="s">
        <v>209</v>
      </c>
      <c r="D17" s="61" t="s">
        <v>210</v>
      </c>
      <c r="E17" s="61" t="s">
        <v>211</v>
      </c>
      <c r="F17" s="61" t="s">
        <v>212</v>
      </c>
      <c r="G17" s="61" t="s">
        <v>213</v>
      </c>
    </row>
    <row r="18" customFormat="false" ht="21.75" hidden="false" customHeight="true" outlineLevel="0" collapsed="false">
      <c r="B18" s="65" t="s">
        <v>214</v>
      </c>
      <c r="C18" s="78" t="s">
        <v>215</v>
      </c>
      <c r="D18" s="76" t="s">
        <v>216</v>
      </c>
      <c r="E18" s="76" t="s">
        <v>217</v>
      </c>
      <c r="F18" s="89" t="s">
        <v>218</v>
      </c>
      <c r="G18" s="78" t="s">
        <v>219</v>
      </c>
    </row>
    <row r="19" customFormat="false" ht="21.75" hidden="false" customHeight="true" outlineLevel="0" collapsed="false">
      <c r="B19" s="65" t="s">
        <v>220</v>
      </c>
      <c r="C19" s="74" t="s">
        <v>221</v>
      </c>
      <c r="D19" s="72" t="s">
        <v>222</v>
      </c>
      <c r="E19" s="72" t="s">
        <v>223</v>
      </c>
      <c r="F19" s="89" t="s">
        <v>224</v>
      </c>
      <c r="G19" s="74" t="s">
        <v>225</v>
      </c>
    </row>
    <row r="20" customFormat="false" ht="21.75" hidden="false" customHeight="true" outlineLevel="0" collapsed="false">
      <c r="B20" s="68" t="s">
        <v>226</v>
      </c>
      <c r="C20" s="78" t="s">
        <v>227</v>
      </c>
      <c r="D20" s="76" t="s">
        <v>228</v>
      </c>
      <c r="E20" s="76" t="s">
        <v>217</v>
      </c>
      <c r="F20" s="88" t="s">
        <v>229</v>
      </c>
      <c r="G20" s="78" t="s">
        <v>230</v>
      </c>
    </row>
    <row r="21" customFormat="false" ht="21.75" hidden="false" customHeight="true" outlineLevel="0" collapsed="false">
      <c r="B21" s="82" t="s">
        <v>231</v>
      </c>
      <c r="C21" s="74" t="s">
        <v>232</v>
      </c>
      <c r="D21" s="72" t="s">
        <v>233</v>
      </c>
      <c r="E21" s="72" t="s">
        <v>234</v>
      </c>
      <c r="F21" s="90" t="s">
        <v>235</v>
      </c>
      <c r="G21" s="74" t="s">
        <v>236</v>
      </c>
    </row>
    <row r="22" customFormat="false" ht="21.75" hidden="false" customHeight="true" outlineLevel="0" collapsed="false">
      <c r="B22" s="62" t="s">
        <v>237</v>
      </c>
      <c r="C22" s="78" t="s">
        <v>238</v>
      </c>
      <c r="D22" s="76" t="s">
        <v>239</v>
      </c>
      <c r="E22" s="76" t="s">
        <v>240</v>
      </c>
      <c r="F22" s="86" t="s">
        <v>241</v>
      </c>
      <c r="G22" s="78" t="s">
        <v>242</v>
      </c>
    </row>
    <row r="23" customFormat="false" ht="21.75" hidden="false" customHeight="true" outlineLevel="0" collapsed="false">
      <c r="B23" s="84" t="s">
        <v>243</v>
      </c>
      <c r="C23" s="74" t="s">
        <v>244</v>
      </c>
      <c r="D23" s="72" t="s">
        <v>245</v>
      </c>
      <c r="E23" s="72" t="s">
        <v>234</v>
      </c>
      <c r="F23" s="91" t="s">
        <v>246</v>
      </c>
      <c r="G23" s="74" t="s">
        <v>247</v>
      </c>
    </row>
    <row r="24" customFormat="false" ht="9.75" hidden="false" customHeight="true" outlineLevel="0" collapsed="false"/>
    <row r="25" customFormat="false" ht="21.75" hidden="false" customHeight="true" outlineLevel="0" collapsed="false">
      <c r="B25" s="60" t="s">
        <v>248</v>
      </c>
      <c r="C25" s="60"/>
      <c r="D25" s="60"/>
      <c r="E25" s="60"/>
      <c r="F25" s="60"/>
      <c r="G25" s="60"/>
    </row>
    <row r="26" customFormat="false" ht="18" hidden="false" customHeight="true" outlineLevel="0" collapsed="false">
      <c r="B26" s="61" t="s">
        <v>249</v>
      </c>
      <c r="C26" s="61" t="s">
        <v>250</v>
      </c>
      <c r="D26" s="61" t="s">
        <v>251</v>
      </c>
      <c r="E26" s="61" t="s">
        <v>164</v>
      </c>
      <c r="F26" s="61" t="s">
        <v>252</v>
      </c>
    </row>
    <row r="27" customFormat="false" ht="21.75" hidden="false" customHeight="true" outlineLevel="0" collapsed="false">
      <c r="B27" s="71" t="s">
        <v>253</v>
      </c>
      <c r="C27" s="74" t="s">
        <v>254</v>
      </c>
      <c r="D27" s="72" t="s">
        <v>255</v>
      </c>
      <c r="E27" s="72" t="s">
        <v>256</v>
      </c>
      <c r="F27" s="92" t="s">
        <v>257</v>
      </c>
    </row>
    <row r="28" customFormat="false" ht="21.75" hidden="false" customHeight="true" outlineLevel="0" collapsed="false">
      <c r="B28" s="75" t="s">
        <v>258</v>
      </c>
      <c r="C28" s="78" t="s">
        <v>259</v>
      </c>
      <c r="D28" s="76" t="s">
        <v>260</v>
      </c>
      <c r="E28" s="76" t="s">
        <v>170</v>
      </c>
      <c r="F28" s="93" t="s">
        <v>261</v>
      </c>
    </row>
    <row r="29" customFormat="false" ht="21.75" hidden="false" customHeight="true" outlineLevel="0" collapsed="false">
      <c r="B29" s="71" t="s">
        <v>262</v>
      </c>
      <c r="C29" s="74" t="s">
        <v>263</v>
      </c>
      <c r="D29" s="72" t="s">
        <v>264</v>
      </c>
      <c r="E29" s="72" t="s">
        <v>195</v>
      </c>
      <c r="F29" s="94" t="s">
        <v>265</v>
      </c>
    </row>
    <row r="30" customFormat="false" ht="21.75" hidden="false" customHeight="true" outlineLevel="0" collapsed="false">
      <c r="B30" s="75" t="s">
        <v>266</v>
      </c>
      <c r="C30" s="78" t="s">
        <v>267</v>
      </c>
      <c r="D30" s="76" t="s">
        <v>268</v>
      </c>
      <c r="E30" s="76" t="s">
        <v>97</v>
      </c>
      <c r="F30" s="95" t="s">
        <v>269</v>
      </c>
    </row>
    <row r="31" customFormat="false" ht="21.75" hidden="false" customHeight="true" outlineLevel="0" collapsed="false">
      <c r="B31" s="71" t="s">
        <v>270</v>
      </c>
      <c r="C31" s="74" t="s">
        <v>271</v>
      </c>
      <c r="D31" s="72" t="s">
        <v>272</v>
      </c>
      <c r="E31" s="72" t="s">
        <v>273</v>
      </c>
      <c r="F31" s="96" t="s">
        <v>274</v>
      </c>
    </row>
  </sheetData>
  <mergeCells count="4">
    <mergeCell ref="B2:G2"/>
    <mergeCell ref="B5:G5"/>
    <mergeCell ref="B16:G16"/>
    <mergeCell ref="B25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1B1B"/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20"/>
    <col collapsed="false" customWidth="true" hidden="false" outlineLevel="0" max="7" min="7" style="0" width="18"/>
  </cols>
  <sheetData>
    <row r="1" customFormat="false" ht="6" hidden="false" customHeight="true" outlineLevel="0" collapsed="false">
      <c r="A1" s="1"/>
      <c r="B1" s="1"/>
      <c r="C1" s="1"/>
      <c r="D1" s="1"/>
      <c r="E1" s="1"/>
      <c r="F1" s="1"/>
      <c r="G1" s="1"/>
    </row>
    <row r="2" customFormat="false" ht="33.75" hidden="false" customHeight="true" outlineLevel="0" collapsed="false">
      <c r="A2" s="1"/>
      <c r="B2" s="59" t="s">
        <v>275</v>
      </c>
      <c r="C2" s="59"/>
      <c r="D2" s="59"/>
      <c r="E2" s="59"/>
      <c r="F2" s="59"/>
      <c r="G2" s="59"/>
    </row>
    <row r="3" customFormat="false" ht="7.5" hidden="false" customHeight="true" outlineLevel="0" collapsed="false">
      <c r="A3" s="1"/>
      <c r="B3" s="1"/>
      <c r="C3" s="1"/>
      <c r="D3" s="1"/>
      <c r="E3" s="1"/>
      <c r="F3" s="1"/>
      <c r="G3" s="1"/>
    </row>
    <row r="5" customFormat="false" ht="21.75" hidden="false" customHeight="true" outlineLevel="0" collapsed="false">
      <c r="B5" s="60" t="s">
        <v>276</v>
      </c>
      <c r="C5" s="60"/>
      <c r="D5" s="60"/>
      <c r="E5" s="60"/>
      <c r="F5" s="60"/>
      <c r="G5" s="60"/>
    </row>
    <row r="6" customFormat="false" ht="18" hidden="false" customHeight="true" outlineLevel="0" collapsed="false">
      <c r="B6" s="61" t="s">
        <v>277</v>
      </c>
      <c r="C6" s="61" t="s">
        <v>278</v>
      </c>
      <c r="D6" s="61" t="s">
        <v>279</v>
      </c>
      <c r="E6" s="61" t="s">
        <v>69</v>
      </c>
      <c r="F6" s="61" t="s">
        <v>280</v>
      </c>
      <c r="G6" s="61" t="s">
        <v>281</v>
      </c>
    </row>
    <row r="7" customFormat="false" ht="24" hidden="false" customHeight="true" outlineLevel="0" collapsed="false">
      <c r="B7" s="71" t="s">
        <v>282</v>
      </c>
      <c r="C7" s="72" t="n">
        <v>2712</v>
      </c>
      <c r="D7" s="72" t="s">
        <v>283</v>
      </c>
      <c r="E7" s="86" t="s">
        <v>284</v>
      </c>
      <c r="F7" s="74" t="s">
        <v>285</v>
      </c>
      <c r="G7" s="74" t="s">
        <v>286</v>
      </c>
    </row>
    <row r="8" customFormat="false" ht="24" hidden="false" customHeight="true" outlineLevel="0" collapsed="false">
      <c r="B8" s="75" t="s">
        <v>287</v>
      </c>
      <c r="C8" s="76" t="n">
        <v>1755</v>
      </c>
      <c r="D8" s="76" t="s">
        <v>288</v>
      </c>
      <c r="E8" s="88" t="s">
        <v>195</v>
      </c>
      <c r="F8" s="78" t="s">
        <v>289</v>
      </c>
      <c r="G8" s="78" t="s">
        <v>290</v>
      </c>
    </row>
    <row r="9" customFormat="false" ht="24" hidden="false" customHeight="true" outlineLevel="0" collapsed="false">
      <c r="B9" s="71" t="s">
        <v>291</v>
      </c>
      <c r="C9" s="72" t="n">
        <v>929</v>
      </c>
      <c r="D9" s="72" t="s">
        <v>292</v>
      </c>
      <c r="E9" s="89" t="s">
        <v>293</v>
      </c>
      <c r="F9" s="74" t="s">
        <v>294</v>
      </c>
      <c r="G9" s="74" t="s">
        <v>295</v>
      </c>
    </row>
    <row r="10" customFormat="false" ht="24" hidden="false" customHeight="true" outlineLevel="0" collapsed="false">
      <c r="B10" s="75" t="s">
        <v>296</v>
      </c>
      <c r="C10" s="76" t="n">
        <v>937</v>
      </c>
      <c r="D10" s="76" t="s">
        <v>297</v>
      </c>
      <c r="E10" s="89" t="s">
        <v>293</v>
      </c>
      <c r="F10" s="78" t="s">
        <v>298</v>
      </c>
      <c r="G10" s="78" t="s">
        <v>299</v>
      </c>
    </row>
    <row r="11" customFormat="false" ht="24" hidden="false" customHeight="true" outlineLevel="0" collapsed="false">
      <c r="B11" s="71" t="s">
        <v>300</v>
      </c>
      <c r="C11" s="72" t="n">
        <v>963</v>
      </c>
      <c r="D11" s="72" t="s">
        <v>301</v>
      </c>
      <c r="E11" s="89" t="s">
        <v>293</v>
      </c>
      <c r="F11" s="74" t="s">
        <v>302</v>
      </c>
      <c r="G11" s="74" t="s">
        <v>303</v>
      </c>
    </row>
    <row r="12" customFormat="false" ht="24" hidden="false" customHeight="true" outlineLevel="0" collapsed="false">
      <c r="B12" s="75" t="s">
        <v>304</v>
      </c>
      <c r="C12" s="76" t="n">
        <v>1023</v>
      </c>
      <c r="D12" s="76" t="s">
        <v>305</v>
      </c>
      <c r="E12" s="89" t="s">
        <v>293</v>
      </c>
      <c r="F12" s="78" t="s">
        <v>306</v>
      </c>
      <c r="G12" s="78" t="s">
        <v>307</v>
      </c>
    </row>
    <row r="13" customFormat="false" ht="24" hidden="false" customHeight="true" outlineLevel="0" collapsed="false">
      <c r="B13" s="71" t="s">
        <v>308</v>
      </c>
      <c r="C13" s="72" t="n">
        <v>293</v>
      </c>
      <c r="D13" s="72" t="s">
        <v>309</v>
      </c>
      <c r="E13" s="97" t="s">
        <v>119</v>
      </c>
      <c r="F13" s="74" t="s">
        <v>310</v>
      </c>
      <c r="G13" s="74" t="s">
        <v>311</v>
      </c>
    </row>
    <row r="14" customFormat="false" ht="9.75" hidden="false" customHeight="true" outlineLevel="0" collapsed="false"/>
    <row r="15" customFormat="false" ht="21.75" hidden="false" customHeight="true" outlineLevel="0" collapsed="false">
      <c r="B15" s="60" t="s">
        <v>312</v>
      </c>
      <c r="C15" s="60"/>
      <c r="D15" s="60"/>
      <c r="E15" s="60"/>
      <c r="F15" s="60"/>
      <c r="G15" s="60"/>
    </row>
    <row r="16" customFormat="false" ht="18" hidden="false" customHeight="true" outlineLevel="0" collapsed="false">
      <c r="B16" s="61" t="s">
        <v>313</v>
      </c>
      <c r="C16" s="61" t="s">
        <v>314</v>
      </c>
      <c r="D16" s="61" t="s">
        <v>315</v>
      </c>
      <c r="E16" s="61" t="s">
        <v>316</v>
      </c>
      <c r="F16" s="61" t="s">
        <v>162</v>
      </c>
      <c r="G16" s="61" t="s">
        <v>317</v>
      </c>
    </row>
    <row r="17" customFormat="false" ht="30" hidden="false" customHeight="true" outlineLevel="0" collapsed="false">
      <c r="B17" s="65" t="s">
        <v>318</v>
      </c>
      <c r="C17" s="89" t="s">
        <v>319</v>
      </c>
      <c r="D17" s="72" t="s">
        <v>320</v>
      </c>
      <c r="E17" s="74" t="s">
        <v>321</v>
      </c>
      <c r="F17" s="74" t="s">
        <v>322</v>
      </c>
      <c r="G17" s="74" t="s">
        <v>323</v>
      </c>
    </row>
    <row r="18" customFormat="false" ht="30" hidden="false" customHeight="true" outlineLevel="0" collapsed="false">
      <c r="B18" s="65" t="s">
        <v>324</v>
      </c>
      <c r="C18" s="89" t="s">
        <v>319</v>
      </c>
      <c r="D18" s="76" t="s">
        <v>325</v>
      </c>
      <c r="E18" s="78" t="s">
        <v>326</v>
      </c>
      <c r="F18" s="78" t="s">
        <v>327</v>
      </c>
      <c r="G18" s="78" t="s">
        <v>328</v>
      </c>
    </row>
    <row r="19" customFormat="false" ht="30" hidden="false" customHeight="true" outlineLevel="0" collapsed="false">
      <c r="B19" s="65" t="s">
        <v>329</v>
      </c>
      <c r="C19" s="89" t="s">
        <v>319</v>
      </c>
      <c r="D19" s="72" t="s">
        <v>330</v>
      </c>
      <c r="E19" s="74" t="s">
        <v>331</v>
      </c>
      <c r="F19" s="74" t="s">
        <v>332</v>
      </c>
      <c r="G19" s="74" t="s">
        <v>333</v>
      </c>
    </row>
    <row r="20" customFormat="false" ht="30" hidden="false" customHeight="true" outlineLevel="0" collapsed="false">
      <c r="B20" s="68" t="s">
        <v>334</v>
      </c>
      <c r="C20" s="88" t="s">
        <v>335</v>
      </c>
      <c r="D20" s="76" t="s">
        <v>336</v>
      </c>
      <c r="E20" s="78" t="s">
        <v>337</v>
      </c>
      <c r="F20" s="78" t="s">
        <v>338</v>
      </c>
      <c r="G20" s="78" t="s">
        <v>339</v>
      </c>
    </row>
    <row r="21" customFormat="false" ht="30" hidden="false" customHeight="true" outlineLevel="0" collapsed="false">
      <c r="B21" s="68" t="s">
        <v>340</v>
      </c>
      <c r="C21" s="88" t="s">
        <v>335</v>
      </c>
      <c r="D21" s="72" t="s">
        <v>341</v>
      </c>
      <c r="E21" s="74" t="s">
        <v>342</v>
      </c>
      <c r="F21" s="74" t="s">
        <v>343</v>
      </c>
      <c r="G21" s="74" t="s">
        <v>344</v>
      </c>
    </row>
    <row r="22" customFormat="false" ht="30" hidden="false" customHeight="true" outlineLevel="0" collapsed="false">
      <c r="B22" s="68" t="s">
        <v>345</v>
      </c>
      <c r="C22" s="88" t="s">
        <v>346</v>
      </c>
      <c r="D22" s="76" t="s">
        <v>347</v>
      </c>
      <c r="E22" s="78" t="s">
        <v>348</v>
      </c>
      <c r="F22" s="78" t="s">
        <v>349</v>
      </c>
      <c r="G22" s="78" t="s">
        <v>350</v>
      </c>
    </row>
    <row r="23" customFormat="false" ht="30" hidden="false" customHeight="true" outlineLevel="0" collapsed="false">
      <c r="B23" s="82" t="s">
        <v>351</v>
      </c>
      <c r="C23" s="90" t="s">
        <v>352</v>
      </c>
      <c r="D23" s="72" t="s">
        <v>353</v>
      </c>
      <c r="E23" s="74" t="s">
        <v>354</v>
      </c>
      <c r="F23" s="74" t="s">
        <v>355</v>
      </c>
      <c r="G23" s="74" t="s">
        <v>356</v>
      </c>
    </row>
    <row r="24" customFormat="false" ht="30" hidden="false" customHeight="true" outlineLevel="0" collapsed="false">
      <c r="B24" s="68" t="s">
        <v>357</v>
      </c>
      <c r="C24" s="88" t="s">
        <v>335</v>
      </c>
      <c r="D24" s="76" t="s">
        <v>358</v>
      </c>
      <c r="E24" s="78" t="s">
        <v>359</v>
      </c>
      <c r="F24" s="78" t="s">
        <v>360</v>
      </c>
      <c r="G24" s="78" t="s">
        <v>361</v>
      </c>
    </row>
  </sheetData>
  <mergeCells count="3">
    <mergeCell ref="B2:G2"/>
    <mergeCell ref="B5:G5"/>
    <mergeCell ref="B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65F46"/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6" min="5" style="0" width="18"/>
  </cols>
  <sheetData>
    <row r="1" customFormat="false" ht="6" hidden="false" customHeight="true" outlineLevel="0" collapsed="false">
      <c r="A1" s="1"/>
      <c r="B1" s="1"/>
      <c r="C1" s="1"/>
      <c r="D1" s="1"/>
      <c r="E1" s="1"/>
      <c r="F1" s="1"/>
    </row>
    <row r="2" customFormat="false" ht="33.75" hidden="false" customHeight="true" outlineLevel="0" collapsed="false">
      <c r="A2" s="1"/>
      <c r="B2" s="59" t="s">
        <v>362</v>
      </c>
      <c r="C2" s="59"/>
      <c r="D2" s="59"/>
      <c r="E2" s="59"/>
      <c r="F2" s="59"/>
    </row>
    <row r="3" customFormat="false" ht="7.5" hidden="false" customHeight="true" outlineLevel="0" collapsed="false">
      <c r="A3" s="1"/>
      <c r="B3" s="1"/>
      <c r="C3" s="1"/>
      <c r="D3" s="1"/>
      <c r="E3" s="1"/>
      <c r="F3" s="1"/>
    </row>
    <row r="5" customFormat="false" ht="21.75" hidden="false" customHeight="true" outlineLevel="0" collapsed="false">
      <c r="B5" s="98" t="s">
        <v>363</v>
      </c>
      <c r="C5" s="98"/>
      <c r="D5" s="98"/>
      <c r="E5" s="98"/>
      <c r="F5" s="98"/>
    </row>
    <row r="6" customFormat="false" ht="18" hidden="false" customHeight="true" outlineLevel="0" collapsed="false">
      <c r="B6" s="99" t="s">
        <v>364</v>
      </c>
      <c r="C6" s="99" t="s">
        <v>133</v>
      </c>
      <c r="D6" s="99" t="s">
        <v>365</v>
      </c>
      <c r="E6" s="99" t="s">
        <v>366</v>
      </c>
      <c r="F6" s="99" t="s">
        <v>367</v>
      </c>
    </row>
    <row r="7" customFormat="false" ht="27.75" hidden="false" customHeight="true" outlineLevel="0" collapsed="false">
      <c r="B7" s="65" t="s">
        <v>368</v>
      </c>
      <c r="C7" s="72" t="s">
        <v>369</v>
      </c>
      <c r="D7" s="74" t="s">
        <v>370</v>
      </c>
      <c r="E7" s="74" t="s">
        <v>371</v>
      </c>
      <c r="F7" s="74" t="s">
        <v>372</v>
      </c>
    </row>
    <row r="8" customFormat="false" ht="27.75" hidden="false" customHeight="true" outlineLevel="0" collapsed="false">
      <c r="B8" s="65" t="s">
        <v>373</v>
      </c>
      <c r="C8" s="76" t="s">
        <v>374</v>
      </c>
      <c r="D8" s="78" t="s">
        <v>375</v>
      </c>
      <c r="E8" s="78" t="s">
        <v>376</v>
      </c>
      <c r="F8" s="78" t="s">
        <v>377</v>
      </c>
    </row>
    <row r="9" customFormat="false" ht="27.75" hidden="false" customHeight="true" outlineLevel="0" collapsed="false">
      <c r="B9" s="65" t="s">
        <v>378</v>
      </c>
      <c r="C9" s="72" t="s">
        <v>379</v>
      </c>
      <c r="D9" s="74" t="s">
        <v>380</v>
      </c>
      <c r="E9" s="74" t="s">
        <v>381</v>
      </c>
      <c r="F9" s="74" t="s">
        <v>382</v>
      </c>
    </row>
    <row r="10" customFormat="false" ht="27.75" hidden="false" customHeight="true" outlineLevel="0" collapsed="false">
      <c r="B10" s="65" t="s">
        <v>383</v>
      </c>
      <c r="C10" s="76" t="s">
        <v>137</v>
      </c>
      <c r="D10" s="78" t="s">
        <v>384</v>
      </c>
      <c r="E10" s="78" t="s">
        <v>385</v>
      </c>
      <c r="F10" s="78" t="s">
        <v>386</v>
      </c>
    </row>
    <row r="11" customFormat="false" ht="27.75" hidden="false" customHeight="true" outlineLevel="0" collapsed="false">
      <c r="B11" s="65" t="s">
        <v>387</v>
      </c>
      <c r="C11" s="72" t="s">
        <v>388</v>
      </c>
      <c r="D11" s="74" t="s">
        <v>389</v>
      </c>
      <c r="E11" s="74" t="s">
        <v>390</v>
      </c>
      <c r="F11" s="74" t="s">
        <v>391</v>
      </c>
    </row>
    <row r="12" customFormat="false" ht="9.75" hidden="false" customHeight="true" outlineLevel="0" collapsed="false"/>
    <row r="13" customFormat="false" ht="21.75" hidden="false" customHeight="true" outlineLevel="0" collapsed="false">
      <c r="B13" s="100" t="s">
        <v>392</v>
      </c>
      <c r="C13" s="100"/>
      <c r="D13" s="100"/>
      <c r="E13" s="100"/>
      <c r="F13" s="100"/>
    </row>
    <row r="14" customFormat="false" ht="18" hidden="false" customHeight="true" outlineLevel="0" collapsed="false">
      <c r="B14" s="101" t="s">
        <v>364</v>
      </c>
      <c r="C14" s="101" t="s">
        <v>133</v>
      </c>
      <c r="D14" s="101" t="s">
        <v>365</v>
      </c>
      <c r="E14" s="101" t="s">
        <v>366</v>
      </c>
      <c r="F14" s="101" t="s">
        <v>367</v>
      </c>
    </row>
    <row r="15" customFormat="false" ht="27.75" hidden="false" customHeight="true" outlineLevel="0" collapsed="false">
      <c r="B15" s="68" t="s">
        <v>393</v>
      </c>
      <c r="C15" s="72" t="s">
        <v>394</v>
      </c>
      <c r="D15" s="74" t="s">
        <v>395</v>
      </c>
      <c r="E15" s="74" t="s">
        <v>396</v>
      </c>
      <c r="F15" s="74" t="s">
        <v>397</v>
      </c>
    </row>
    <row r="16" customFormat="false" ht="27.75" hidden="false" customHeight="true" outlineLevel="0" collapsed="false">
      <c r="B16" s="68" t="s">
        <v>398</v>
      </c>
      <c r="C16" s="76" t="s">
        <v>399</v>
      </c>
      <c r="D16" s="78" t="s">
        <v>400</v>
      </c>
      <c r="E16" s="78" t="s">
        <v>401</v>
      </c>
      <c r="F16" s="78" t="s">
        <v>402</v>
      </c>
    </row>
    <row r="17" customFormat="false" ht="27.75" hidden="false" customHeight="true" outlineLevel="0" collapsed="false">
      <c r="B17" s="68" t="s">
        <v>403</v>
      </c>
      <c r="C17" s="72" t="s">
        <v>404</v>
      </c>
      <c r="D17" s="74" t="s">
        <v>405</v>
      </c>
      <c r="E17" s="74" t="s">
        <v>406</v>
      </c>
      <c r="F17" s="74" t="s">
        <v>407</v>
      </c>
    </row>
    <row r="18" customFormat="false" ht="27.75" hidden="false" customHeight="true" outlineLevel="0" collapsed="false">
      <c r="B18" s="68" t="s">
        <v>408</v>
      </c>
      <c r="C18" s="76" t="s">
        <v>409</v>
      </c>
      <c r="D18" s="78" t="s">
        <v>410</v>
      </c>
      <c r="E18" s="78" t="s">
        <v>411</v>
      </c>
      <c r="F18" s="78" t="s">
        <v>412</v>
      </c>
    </row>
    <row r="19" customFormat="false" ht="27.75" hidden="false" customHeight="true" outlineLevel="0" collapsed="false">
      <c r="B19" s="68" t="s">
        <v>413</v>
      </c>
      <c r="C19" s="72" t="s">
        <v>414</v>
      </c>
      <c r="D19" s="74" t="s">
        <v>415</v>
      </c>
      <c r="E19" s="74" t="s">
        <v>416</v>
      </c>
      <c r="F19" s="74" t="s">
        <v>417</v>
      </c>
    </row>
    <row r="20" customFormat="false" ht="9.75" hidden="false" customHeight="true" outlineLevel="0" collapsed="false"/>
    <row r="21" customFormat="false" ht="21.75" hidden="false" customHeight="true" outlineLevel="0" collapsed="false">
      <c r="B21" s="102" t="s">
        <v>418</v>
      </c>
      <c r="C21" s="102"/>
      <c r="D21" s="102"/>
      <c r="E21" s="102"/>
      <c r="F21" s="102"/>
    </row>
    <row r="22" customFormat="false" ht="18" hidden="false" customHeight="true" outlineLevel="0" collapsed="false">
      <c r="B22" s="61" t="s">
        <v>364</v>
      </c>
      <c r="C22" s="61" t="s">
        <v>133</v>
      </c>
      <c r="D22" s="61" t="s">
        <v>419</v>
      </c>
      <c r="E22" s="61" t="s">
        <v>366</v>
      </c>
      <c r="F22" s="61" t="s">
        <v>420</v>
      </c>
    </row>
    <row r="23" customFormat="false" ht="31.5" hidden="false" customHeight="true" outlineLevel="0" collapsed="false">
      <c r="B23" s="84" t="s">
        <v>421</v>
      </c>
      <c r="C23" s="72" t="s">
        <v>422</v>
      </c>
      <c r="D23" s="74" t="s">
        <v>423</v>
      </c>
      <c r="E23" s="74" t="s">
        <v>424</v>
      </c>
      <c r="F23" s="74" t="s">
        <v>425</v>
      </c>
    </row>
    <row r="24" customFormat="false" ht="31.5" hidden="false" customHeight="true" outlineLevel="0" collapsed="false">
      <c r="B24" s="84" t="s">
        <v>426</v>
      </c>
      <c r="C24" s="76" t="s">
        <v>427</v>
      </c>
      <c r="D24" s="78" t="s">
        <v>428</v>
      </c>
      <c r="E24" s="78" t="s">
        <v>429</v>
      </c>
      <c r="F24" s="78" t="s">
        <v>430</v>
      </c>
    </row>
    <row r="25" customFormat="false" ht="31.5" hidden="false" customHeight="true" outlineLevel="0" collapsed="false">
      <c r="B25" s="84" t="s">
        <v>431</v>
      </c>
      <c r="C25" s="72" t="s">
        <v>432</v>
      </c>
      <c r="D25" s="74" t="s">
        <v>433</v>
      </c>
      <c r="E25" s="74" t="s">
        <v>434</v>
      </c>
      <c r="F25" s="74" t="s">
        <v>435</v>
      </c>
    </row>
    <row r="26" customFormat="false" ht="31.5" hidden="false" customHeight="true" outlineLevel="0" collapsed="false">
      <c r="B26" s="84" t="s">
        <v>436</v>
      </c>
      <c r="C26" s="76" t="s">
        <v>437</v>
      </c>
      <c r="D26" s="78" t="s">
        <v>438</v>
      </c>
      <c r="E26" s="78" t="s">
        <v>439</v>
      </c>
      <c r="F26" s="78" t="s">
        <v>440</v>
      </c>
    </row>
    <row r="27" customFormat="false" ht="31.5" hidden="false" customHeight="true" outlineLevel="0" collapsed="false">
      <c r="B27" s="84" t="s">
        <v>441</v>
      </c>
      <c r="C27" s="72" t="s">
        <v>442</v>
      </c>
      <c r="D27" s="74" t="s">
        <v>443</v>
      </c>
      <c r="E27" s="74" t="s">
        <v>444</v>
      </c>
      <c r="F27" s="74" t="s">
        <v>445</v>
      </c>
    </row>
  </sheetData>
  <mergeCells count="4">
    <mergeCell ref="B2:F2"/>
    <mergeCell ref="B5:F5"/>
    <mergeCell ref="B13:F13"/>
    <mergeCell ref="B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B0"/>
    <pageSetUpPr fitToPage="false"/>
  </sheetPr>
  <dimension ref="A1:L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20"/>
    <col collapsed="false" customWidth="true" hidden="false" outlineLevel="0" max="12" min="3" style="0" width="12"/>
  </cols>
  <sheetData>
    <row r="1" customFormat="false" ht="6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3.75" hidden="false" customHeight="true" outlineLevel="0" collapsed="false">
      <c r="A2" s="1"/>
      <c r="B2" s="59" t="s">
        <v>446</v>
      </c>
      <c r="C2" s="59"/>
      <c r="D2" s="59"/>
      <c r="E2" s="59"/>
      <c r="F2" s="59"/>
      <c r="G2" s="59"/>
      <c r="H2" s="59"/>
      <c r="I2" s="59"/>
      <c r="J2" s="59"/>
      <c r="K2" s="59"/>
      <c r="L2" s="59"/>
    </row>
    <row r="3" customFormat="false" ht="7.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5" customFormat="false" ht="18" hidden="false" customHeight="true" outlineLevel="0" collapsed="false">
      <c r="B5" s="103" t="s">
        <v>447</v>
      </c>
      <c r="C5" s="103"/>
      <c r="D5" s="103"/>
    </row>
    <row r="6" customFormat="false" ht="18" hidden="false" customHeight="true" outlineLevel="0" collapsed="false">
      <c r="B6" s="61" t="s">
        <v>69</v>
      </c>
      <c r="C6" s="61" t="s">
        <v>448</v>
      </c>
      <c r="D6" s="61" t="s">
        <v>449</v>
      </c>
    </row>
    <row r="7" customFormat="false" ht="15.75" hidden="false" customHeight="true" outlineLevel="0" collapsed="false">
      <c r="B7" s="104" t="s">
        <v>450</v>
      </c>
      <c r="C7" s="104" t="n">
        <v>619</v>
      </c>
      <c r="D7" s="104" t="n">
        <v>22.3</v>
      </c>
    </row>
    <row r="8" customFormat="false" ht="15.75" hidden="false" customHeight="true" outlineLevel="0" collapsed="false">
      <c r="B8" s="104" t="s">
        <v>451</v>
      </c>
      <c r="C8" s="104" t="n">
        <v>1136</v>
      </c>
      <c r="D8" s="104" t="n">
        <v>40.9</v>
      </c>
    </row>
    <row r="9" customFormat="false" ht="15.75" hidden="false" customHeight="true" outlineLevel="0" collapsed="false">
      <c r="B9" s="104" t="s">
        <v>452</v>
      </c>
      <c r="C9" s="104" t="n">
        <v>979</v>
      </c>
      <c r="D9" s="104" t="n">
        <v>35.2</v>
      </c>
    </row>
    <row r="10" customFormat="false" ht="15.75" hidden="false" customHeight="true" outlineLevel="0" collapsed="false">
      <c r="B10" s="104" t="s">
        <v>453</v>
      </c>
    </row>
    <row r="13" customFormat="false" ht="18" hidden="false" customHeight="true" outlineLevel="0" collapsed="false">
      <c r="B13" s="103" t="s">
        <v>454</v>
      </c>
      <c r="C13" s="103"/>
      <c r="D13" s="103"/>
    </row>
    <row r="14" customFormat="false" ht="18" hidden="false" customHeight="true" outlineLevel="0" collapsed="false">
      <c r="B14" s="61" t="s">
        <v>455</v>
      </c>
      <c r="C14" s="61" t="s">
        <v>448</v>
      </c>
      <c r="D14" s="61" t="s">
        <v>456</v>
      </c>
    </row>
    <row r="15" customFormat="false" ht="15.75" hidden="false" customHeight="true" outlineLevel="0" collapsed="false">
      <c r="B15" s="104" t="s">
        <v>457</v>
      </c>
      <c r="C15" s="104" t="n">
        <v>2387</v>
      </c>
      <c r="D15" s="104" t="n">
        <v>26.8</v>
      </c>
    </row>
    <row r="16" customFormat="false" ht="15.75" hidden="false" customHeight="true" outlineLevel="0" collapsed="false">
      <c r="B16" s="104" t="s">
        <v>458</v>
      </c>
      <c r="C16" s="104" t="n">
        <v>1299</v>
      </c>
      <c r="D16" s="104" t="n">
        <v>14.6</v>
      </c>
    </row>
    <row r="17" customFormat="false" ht="15.75" hidden="false" customHeight="true" outlineLevel="0" collapsed="false">
      <c r="B17" s="104" t="s">
        <v>459</v>
      </c>
      <c r="C17" s="104" t="n">
        <v>1599</v>
      </c>
      <c r="D17" s="104" t="n">
        <v>18</v>
      </c>
    </row>
    <row r="18" customFormat="false" ht="15.75" hidden="false" customHeight="true" outlineLevel="0" collapsed="false">
      <c r="B18" s="104" t="s">
        <v>460</v>
      </c>
      <c r="C18" s="104" t="n">
        <v>948</v>
      </c>
      <c r="D18" s="104" t="n">
        <v>10.7</v>
      </c>
    </row>
    <row r="19" customFormat="false" ht="15.75" hidden="false" customHeight="true" outlineLevel="0" collapsed="false">
      <c r="B19" s="104" t="s">
        <v>461</v>
      </c>
      <c r="C19" s="104" t="n">
        <v>551</v>
      </c>
      <c r="D19" s="104" t="n">
        <v>6.2</v>
      </c>
    </row>
    <row r="20" customFormat="false" ht="15.75" hidden="false" customHeight="true" outlineLevel="0" collapsed="false">
      <c r="B20" s="104" t="s">
        <v>462</v>
      </c>
      <c r="C20" s="104" t="n">
        <v>376</v>
      </c>
      <c r="D20" s="104" t="n">
        <v>4.2</v>
      </c>
    </row>
    <row r="21" customFormat="false" ht="15.75" hidden="false" customHeight="true" outlineLevel="0" collapsed="false">
      <c r="B21" s="104" t="s">
        <v>463</v>
      </c>
      <c r="C21" s="104" t="n">
        <v>485</v>
      </c>
      <c r="D21" s="104" t="n">
        <v>5.5</v>
      </c>
    </row>
    <row r="22" customFormat="false" ht="15.75" hidden="false" customHeight="true" outlineLevel="0" collapsed="false">
      <c r="B22" s="104" t="s">
        <v>464</v>
      </c>
      <c r="C22" s="104" t="n">
        <v>344</v>
      </c>
      <c r="D22" s="104" t="n">
        <v>3.9</v>
      </c>
    </row>
    <row r="23" customFormat="false" ht="15.75" hidden="false" customHeight="true" outlineLevel="0" collapsed="false">
      <c r="B23" s="104" t="s">
        <v>465</v>
      </c>
      <c r="C23" s="104" t="n">
        <v>76</v>
      </c>
      <c r="D23" s="104" t="n">
        <v>0.9</v>
      </c>
    </row>
    <row r="26" customFormat="false" ht="18" hidden="false" customHeight="true" outlineLevel="0" collapsed="false">
      <c r="B26" s="103" t="s">
        <v>466</v>
      </c>
      <c r="C26" s="103"/>
      <c r="D26" s="103"/>
    </row>
    <row r="27" customFormat="false" ht="18" hidden="false" customHeight="true" outlineLevel="0" collapsed="false">
      <c r="B27" s="61" t="s">
        <v>467</v>
      </c>
      <c r="C27" s="61" t="s">
        <v>448</v>
      </c>
      <c r="D27" s="61" t="s">
        <v>456</v>
      </c>
    </row>
    <row r="28" customFormat="false" ht="15.75" hidden="false" customHeight="true" outlineLevel="0" collapsed="false">
      <c r="B28" s="104" t="s">
        <v>468</v>
      </c>
      <c r="C28" s="104" t="n">
        <v>495</v>
      </c>
      <c r="D28" s="104" t="n">
        <v>17.8</v>
      </c>
    </row>
    <row r="29" customFormat="false" ht="15.75" hidden="false" customHeight="true" outlineLevel="0" collapsed="false">
      <c r="B29" s="104" t="s">
        <v>469</v>
      </c>
      <c r="C29" s="104" t="n">
        <v>249</v>
      </c>
      <c r="D29" s="104" t="n">
        <v>9</v>
      </c>
    </row>
    <row r="30" customFormat="false" ht="15.75" hidden="false" customHeight="true" outlineLevel="0" collapsed="false">
      <c r="B30" s="104" t="s">
        <v>470</v>
      </c>
      <c r="C30" s="104" t="n">
        <v>193</v>
      </c>
      <c r="D30" s="104" t="n">
        <v>6.9</v>
      </c>
    </row>
    <row r="31" customFormat="false" ht="15.75" hidden="false" customHeight="true" outlineLevel="0" collapsed="false">
      <c r="B31" s="104" t="s">
        <v>452</v>
      </c>
      <c r="C31" s="104" t="n">
        <v>1809</v>
      </c>
      <c r="D31" s="104" t="n">
        <v>65.1</v>
      </c>
    </row>
    <row r="34" customFormat="false" ht="18" hidden="false" customHeight="true" outlineLevel="0" collapsed="false">
      <c r="B34" s="103" t="s">
        <v>471</v>
      </c>
      <c r="C34" s="103"/>
      <c r="D34" s="103"/>
    </row>
    <row r="35" customFormat="false" ht="18" hidden="false" customHeight="true" outlineLevel="0" collapsed="false">
      <c r="B35" s="61" t="s">
        <v>131</v>
      </c>
      <c r="C35" s="61" t="s">
        <v>472</v>
      </c>
      <c r="D35" s="61" t="s">
        <v>456</v>
      </c>
    </row>
    <row r="36" customFormat="false" ht="15.75" hidden="false" customHeight="true" outlineLevel="0" collapsed="false">
      <c r="B36" s="104" t="s">
        <v>473</v>
      </c>
      <c r="C36" s="104" t="n">
        <v>261</v>
      </c>
      <c r="D36" s="104" t="n">
        <v>9.4</v>
      </c>
    </row>
    <row r="37" customFormat="false" ht="15.75" hidden="false" customHeight="true" outlineLevel="0" collapsed="false">
      <c r="B37" s="104" t="s">
        <v>474</v>
      </c>
      <c r="C37" s="104" t="n">
        <v>147</v>
      </c>
      <c r="D37" s="104" t="n">
        <v>5.3</v>
      </c>
    </row>
    <row r="38" customFormat="false" ht="15.75" hidden="false" customHeight="true" outlineLevel="0" collapsed="false">
      <c r="B38" s="104" t="s">
        <v>475</v>
      </c>
      <c r="C38" s="104" t="n">
        <v>143</v>
      </c>
      <c r="D38" s="104" t="n">
        <v>5.1</v>
      </c>
    </row>
    <row r="39" customFormat="false" ht="15.75" hidden="false" customHeight="true" outlineLevel="0" collapsed="false">
      <c r="B39" s="104" t="s">
        <v>476</v>
      </c>
      <c r="C39" s="104" t="n">
        <v>105</v>
      </c>
      <c r="D39" s="104" t="n">
        <v>3.8</v>
      </c>
    </row>
    <row r="40" customFormat="false" ht="15.75" hidden="false" customHeight="true" outlineLevel="0" collapsed="false">
      <c r="B40" s="104" t="s">
        <v>477</v>
      </c>
      <c r="C40" s="104" t="n">
        <v>88</v>
      </c>
      <c r="D40" s="104" t="n">
        <v>3.2</v>
      </c>
    </row>
    <row r="41" customFormat="false" ht="15.75" hidden="false" customHeight="true" outlineLevel="0" collapsed="false">
      <c r="B41" s="104" t="s">
        <v>478</v>
      </c>
      <c r="C41" s="104" t="n">
        <v>33</v>
      </c>
      <c r="D41" s="104" t="n">
        <v>1.2</v>
      </c>
    </row>
    <row r="42" customFormat="false" ht="15.75" hidden="false" customHeight="true" outlineLevel="0" collapsed="false">
      <c r="B42" s="104" t="s">
        <v>479</v>
      </c>
      <c r="C42" s="104" t="n">
        <v>14</v>
      </c>
      <c r="D42" s="104" t="n">
        <v>0.5</v>
      </c>
    </row>
    <row r="45" customFormat="false" ht="18" hidden="false" customHeight="true" outlineLevel="0" collapsed="false">
      <c r="B45" s="103" t="s">
        <v>480</v>
      </c>
      <c r="C45" s="103"/>
      <c r="D45" s="103"/>
    </row>
    <row r="46" customFormat="false" ht="18" hidden="false" customHeight="true" outlineLevel="0" collapsed="false">
      <c r="B46" s="61" t="s">
        <v>481</v>
      </c>
      <c r="C46" s="61" t="s">
        <v>482</v>
      </c>
    </row>
    <row r="47" customFormat="false" ht="15.75" hidden="false" customHeight="true" outlineLevel="0" collapsed="false">
      <c r="B47" s="104" t="s">
        <v>483</v>
      </c>
      <c r="C47" s="104" t="n">
        <v>97.6</v>
      </c>
    </row>
    <row r="48" customFormat="false" ht="15.75" hidden="false" customHeight="true" outlineLevel="0" collapsed="false">
      <c r="B48" s="104" t="s">
        <v>484</v>
      </c>
      <c r="C48" s="104" t="n">
        <v>63.1</v>
      </c>
    </row>
    <row r="49" customFormat="false" ht="15.75" hidden="false" customHeight="true" outlineLevel="0" collapsed="false">
      <c r="B49" s="104" t="s">
        <v>485</v>
      </c>
      <c r="C49" s="104" t="n">
        <v>36.8</v>
      </c>
    </row>
    <row r="50" customFormat="false" ht="15.75" hidden="false" customHeight="true" outlineLevel="0" collapsed="false">
      <c r="B50" s="104" t="s">
        <v>486</v>
      </c>
      <c r="C50" s="104" t="n">
        <v>34.6</v>
      </c>
    </row>
    <row r="51" customFormat="false" ht="15.75" hidden="false" customHeight="true" outlineLevel="0" collapsed="false">
      <c r="B51" s="104" t="s">
        <v>296</v>
      </c>
      <c r="C51" s="104" t="n">
        <v>33.7</v>
      </c>
    </row>
    <row r="52" customFormat="false" ht="15.75" hidden="false" customHeight="true" outlineLevel="0" collapsed="false">
      <c r="B52" s="104" t="s">
        <v>487</v>
      </c>
      <c r="C52" s="104" t="n">
        <v>33.4</v>
      </c>
    </row>
    <row r="53" customFormat="false" ht="15.75" hidden="false" customHeight="true" outlineLevel="0" collapsed="false">
      <c r="B53" s="104" t="s">
        <v>90</v>
      </c>
      <c r="C53" s="104" t="n">
        <v>10.5</v>
      </c>
    </row>
  </sheetData>
  <mergeCells count="6">
    <mergeCell ref="B2:L2"/>
    <mergeCell ref="B5:D5"/>
    <mergeCell ref="B13:D13"/>
    <mergeCell ref="B26:D26"/>
    <mergeCell ref="B34:D34"/>
    <mergeCell ref="B45:D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4155"/>
    <pageSetUpPr fitToPage="false"/>
  </sheetPr>
  <dimension ref="A1:E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5" min="4" style="0" width="16"/>
  </cols>
  <sheetData>
    <row r="1" customFormat="false" ht="6" hidden="false" customHeight="true" outlineLevel="0" collapsed="false">
      <c r="A1" s="1"/>
      <c r="B1" s="1"/>
      <c r="C1" s="1"/>
      <c r="D1" s="1"/>
      <c r="E1" s="1"/>
    </row>
    <row r="2" customFormat="false" ht="33.75" hidden="false" customHeight="true" outlineLevel="0" collapsed="false">
      <c r="A2" s="1"/>
      <c r="B2" s="59" t="s">
        <v>488</v>
      </c>
      <c r="C2" s="59"/>
      <c r="D2" s="59"/>
      <c r="E2" s="59"/>
    </row>
    <row r="3" customFormat="false" ht="7.5" hidden="false" customHeight="true" outlineLevel="0" collapsed="false">
      <c r="A3" s="1"/>
      <c r="B3" s="1"/>
      <c r="C3" s="1"/>
      <c r="D3" s="1"/>
      <c r="E3" s="1"/>
    </row>
    <row r="5" customFormat="false" ht="21.75" hidden="false" customHeight="true" outlineLevel="0" collapsed="false">
      <c r="B5" s="5" t="s">
        <v>489</v>
      </c>
      <c r="C5" s="5"/>
      <c r="D5" s="5"/>
      <c r="E5" s="5"/>
    </row>
    <row r="6" customFormat="false" ht="24" hidden="false" customHeight="true" outlineLevel="0" collapsed="false">
      <c r="B6" s="105" t="s">
        <v>490</v>
      </c>
      <c r="C6" s="78" t="s">
        <v>491</v>
      </c>
      <c r="D6" s="78" t="s">
        <v>492</v>
      </c>
      <c r="E6" s="78" t="s">
        <v>493</v>
      </c>
    </row>
    <row r="7" customFormat="false" ht="24" hidden="false" customHeight="true" outlineLevel="0" collapsed="false">
      <c r="B7" s="105" t="s">
        <v>494</v>
      </c>
      <c r="C7" s="74" t="s">
        <v>495</v>
      </c>
      <c r="D7" s="74" t="s">
        <v>496</v>
      </c>
      <c r="E7" s="74" t="s">
        <v>497</v>
      </c>
    </row>
    <row r="8" customFormat="false" ht="24" hidden="false" customHeight="true" outlineLevel="0" collapsed="false">
      <c r="B8" s="105" t="s">
        <v>498</v>
      </c>
      <c r="C8" s="78" t="s">
        <v>499</v>
      </c>
      <c r="D8" s="78" t="s">
        <v>500</v>
      </c>
      <c r="E8" s="78" t="s">
        <v>501</v>
      </c>
    </row>
    <row r="9" customFormat="false" ht="24" hidden="false" customHeight="true" outlineLevel="0" collapsed="false">
      <c r="B9" s="105" t="s">
        <v>502</v>
      </c>
      <c r="C9" s="74" t="s">
        <v>503</v>
      </c>
      <c r="D9" s="74" t="s">
        <v>504</v>
      </c>
      <c r="E9" s="74" t="s">
        <v>505</v>
      </c>
    </row>
    <row r="10" customFormat="false" ht="24" hidden="false" customHeight="true" outlineLevel="0" collapsed="false">
      <c r="B10" s="105" t="s">
        <v>506</v>
      </c>
      <c r="C10" s="78" t="s">
        <v>507</v>
      </c>
      <c r="D10" s="78" t="s">
        <v>508</v>
      </c>
      <c r="E10" s="78" t="s">
        <v>509</v>
      </c>
    </row>
    <row r="11" customFormat="false" ht="24" hidden="false" customHeight="true" outlineLevel="0" collapsed="false">
      <c r="B11" s="105" t="s">
        <v>510</v>
      </c>
      <c r="C11" s="74" t="s">
        <v>511</v>
      </c>
      <c r="D11" s="74" t="s">
        <v>512</v>
      </c>
      <c r="E11" s="74" t="s">
        <v>513</v>
      </c>
    </row>
    <row r="12" customFormat="false" ht="24" hidden="false" customHeight="true" outlineLevel="0" collapsed="false">
      <c r="B12" s="105" t="s">
        <v>514</v>
      </c>
      <c r="C12" s="78" t="s">
        <v>515</v>
      </c>
      <c r="D12" s="78" t="s">
        <v>516</v>
      </c>
      <c r="E12" s="78" t="s">
        <v>517</v>
      </c>
    </row>
    <row r="13" customFormat="false" ht="9.75" hidden="false" customHeight="true" outlineLevel="0" collapsed="false"/>
    <row r="14" customFormat="false" ht="21.75" hidden="false" customHeight="true" outlineLevel="0" collapsed="false">
      <c r="B14" s="5" t="s">
        <v>518</v>
      </c>
      <c r="C14" s="5"/>
      <c r="D14" s="5"/>
      <c r="E14" s="5"/>
    </row>
    <row r="15" customFormat="false" ht="18" hidden="false" customHeight="true" outlineLevel="0" collapsed="false">
      <c r="B15" s="61" t="s">
        <v>519</v>
      </c>
      <c r="C15" s="61" t="s">
        <v>520</v>
      </c>
      <c r="D15" s="61" t="s">
        <v>521</v>
      </c>
      <c r="E15" s="61" t="s">
        <v>522</v>
      </c>
    </row>
    <row r="16" customFormat="false" ht="21.75" hidden="false" customHeight="true" outlineLevel="0" collapsed="false">
      <c r="B16" s="106" t="s">
        <v>523</v>
      </c>
      <c r="C16" s="78" t="s">
        <v>524</v>
      </c>
      <c r="D16" s="107" t="s">
        <v>525</v>
      </c>
      <c r="E16" s="107" t="s">
        <v>526</v>
      </c>
    </row>
    <row r="17" customFormat="false" ht="21.75" hidden="false" customHeight="true" outlineLevel="0" collapsed="false">
      <c r="B17" s="106" t="s">
        <v>527</v>
      </c>
      <c r="C17" s="74" t="s">
        <v>528</v>
      </c>
      <c r="D17" s="108" t="s">
        <v>525</v>
      </c>
      <c r="E17" s="108" t="s">
        <v>529</v>
      </c>
    </row>
    <row r="18" customFormat="false" ht="21.75" hidden="false" customHeight="true" outlineLevel="0" collapsed="false">
      <c r="B18" s="106" t="s">
        <v>530</v>
      </c>
      <c r="C18" s="78" t="s">
        <v>531</v>
      </c>
      <c r="D18" s="107" t="s">
        <v>532</v>
      </c>
      <c r="E18" s="107" t="s">
        <v>529</v>
      </c>
    </row>
    <row r="19" customFormat="false" ht="21.75" hidden="false" customHeight="true" outlineLevel="0" collapsed="false">
      <c r="B19" s="106" t="s">
        <v>533</v>
      </c>
      <c r="C19" s="74" t="s">
        <v>534</v>
      </c>
      <c r="D19" s="108" t="s">
        <v>535</v>
      </c>
      <c r="E19" s="108" t="s">
        <v>529</v>
      </c>
    </row>
    <row r="20" customFormat="false" ht="21.75" hidden="false" customHeight="true" outlineLevel="0" collapsed="false">
      <c r="B20" s="106" t="s">
        <v>536</v>
      </c>
      <c r="C20" s="78" t="s">
        <v>537</v>
      </c>
      <c r="D20" s="107" t="s">
        <v>525</v>
      </c>
      <c r="E20" s="107" t="s">
        <v>538</v>
      </c>
    </row>
    <row r="21" customFormat="false" ht="21.75" hidden="false" customHeight="true" outlineLevel="0" collapsed="false">
      <c r="B21" s="106" t="s">
        <v>539</v>
      </c>
      <c r="C21" s="74" t="s">
        <v>540</v>
      </c>
      <c r="D21" s="108" t="s">
        <v>525</v>
      </c>
      <c r="E21" s="108" t="s">
        <v>538</v>
      </c>
    </row>
    <row r="22" customFormat="false" ht="21.75" hidden="false" customHeight="true" outlineLevel="0" collapsed="false">
      <c r="B22" s="106" t="s">
        <v>541</v>
      </c>
      <c r="C22" s="78" t="s">
        <v>542</v>
      </c>
      <c r="D22" s="107" t="s">
        <v>543</v>
      </c>
      <c r="E22" s="107" t="s">
        <v>526</v>
      </c>
    </row>
    <row r="23" customFormat="false" ht="21.75" hidden="false" customHeight="true" outlineLevel="0" collapsed="false">
      <c r="B23" s="106" t="s">
        <v>544</v>
      </c>
      <c r="C23" s="74" t="s">
        <v>545</v>
      </c>
      <c r="D23" s="108" t="s">
        <v>546</v>
      </c>
      <c r="E23" s="108" t="s">
        <v>547</v>
      </c>
    </row>
    <row r="24" customFormat="false" ht="21.75" hidden="false" customHeight="true" outlineLevel="0" collapsed="false">
      <c r="B24" s="106" t="s">
        <v>548</v>
      </c>
      <c r="C24" s="78" t="s">
        <v>549</v>
      </c>
      <c r="D24" s="107" t="s">
        <v>550</v>
      </c>
      <c r="E24" s="107" t="s">
        <v>547</v>
      </c>
    </row>
    <row r="25" customFormat="false" ht="21.75" hidden="false" customHeight="true" outlineLevel="0" collapsed="false">
      <c r="B25" s="106" t="s">
        <v>551</v>
      </c>
      <c r="C25" s="74" t="s">
        <v>552</v>
      </c>
      <c r="D25" s="108" t="s">
        <v>553</v>
      </c>
      <c r="E25" s="108" t="s">
        <v>547</v>
      </c>
    </row>
    <row r="26" customFormat="false" ht="21.75" hidden="false" customHeight="true" outlineLevel="0" collapsed="false">
      <c r="B26" s="106" t="s">
        <v>554</v>
      </c>
      <c r="C26" s="78" t="s">
        <v>555</v>
      </c>
      <c r="D26" s="107" t="s">
        <v>556</v>
      </c>
      <c r="E26" s="107" t="s">
        <v>557</v>
      </c>
    </row>
    <row r="27" customFormat="false" ht="21.75" hidden="false" customHeight="true" outlineLevel="0" collapsed="false">
      <c r="B27" s="106" t="s">
        <v>558</v>
      </c>
      <c r="C27" s="74" t="s">
        <v>559</v>
      </c>
      <c r="D27" s="108" t="s">
        <v>560</v>
      </c>
      <c r="E27" s="108" t="s">
        <v>557</v>
      </c>
    </row>
    <row r="28" customFormat="false" ht="21.75" hidden="false" customHeight="true" outlineLevel="0" collapsed="false">
      <c r="B28" s="106" t="s">
        <v>561</v>
      </c>
      <c r="C28" s="78" t="s">
        <v>562</v>
      </c>
      <c r="D28" s="107" t="s">
        <v>259</v>
      </c>
      <c r="E28" s="107" t="s">
        <v>557</v>
      </c>
    </row>
    <row r="29" customFormat="false" ht="21.75" hidden="false" customHeight="true" outlineLevel="0" collapsed="false">
      <c r="B29" s="106" t="s">
        <v>563</v>
      </c>
      <c r="C29" s="74" t="s">
        <v>564</v>
      </c>
      <c r="D29" s="108" t="s">
        <v>263</v>
      </c>
      <c r="E29" s="108" t="s">
        <v>557</v>
      </c>
    </row>
    <row r="30" customFormat="false" ht="21.75" hidden="false" customHeight="true" outlineLevel="0" collapsed="false">
      <c r="B30" s="106" t="s">
        <v>565</v>
      </c>
      <c r="C30" s="78" t="s">
        <v>566</v>
      </c>
      <c r="D30" s="107" t="s">
        <v>567</v>
      </c>
      <c r="E30" s="107" t="s">
        <v>568</v>
      </c>
    </row>
    <row r="31" customFormat="false" ht="21.75" hidden="false" customHeight="true" outlineLevel="0" collapsed="false">
      <c r="B31" s="106" t="s">
        <v>569</v>
      </c>
      <c r="C31" s="74" t="s">
        <v>570</v>
      </c>
      <c r="D31" s="108" t="s">
        <v>571</v>
      </c>
      <c r="E31" s="108" t="s">
        <v>529</v>
      </c>
    </row>
    <row r="32" customFormat="false" ht="21.75" hidden="false" customHeight="true" outlineLevel="0" collapsed="false">
      <c r="B32" s="106" t="s">
        <v>572</v>
      </c>
      <c r="C32" s="78" t="s">
        <v>573</v>
      </c>
      <c r="D32" s="107" t="s">
        <v>556</v>
      </c>
      <c r="E32" s="107" t="s">
        <v>568</v>
      </c>
    </row>
    <row r="33" customFormat="false" ht="9.75" hidden="false" customHeight="true" outlineLevel="0" collapsed="false"/>
    <row r="34" customFormat="false" ht="21.75" hidden="false" customHeight="true" outlineLevel="0" collapsed="false">
      <c r="B34" s="5" t="s">
        <v>574</v>
      </c>
      <c r="C34" s="5"/>
      <c r="D34" s="5"/>
      <c r="E34" s="5"/>
    </row>
    <row r="35" customFormat="false" ht="21.75" hidden="false" customHeight="true" outlineLevel="0" collapsed="false">
      <c r="B35" s="67" t="s">
        <v>575</v>
      </c>
      <c r="C35" s="67"/>
      <c r="D35" s="67"/>
      <c r="E35" s="67"/>
    </row>
    <row r="36" customFormat="false" ht="21.75" hidden="false" customHeight="true" outlineLevel="0" collapsed="false">
      <c r="B36" s="67" t="s">
        <v>576</v>
      </c>
      <c r="C36" s="67"/>
      <c r="D36" s="67"/>
      <c r="E36" s="67"/>
    </row>
    <row r="37" customFormat="false" ht="21.75" hidden="false" customHeight="true" outlineLevel="0" collapsed="false">
      <c r="B37" s="78" t="s">
        <v>577</v>
      </c>
      <c r="C37" s="78"/>
      <c r="D37" s="78"/>
      <c r="E37" s="78"/>
    </row>
    <row r="38" customFormat="false" ht="21.75" hidden="false" customHeight="true" outlineLevel="0" collapsed="false">
      <c r="B38" s="67" t="s">
        <v>578</v>
      </c>
      <c r="C38" s="67"/>
      <c r="D38" s="67"/>
      <c r="E38" s="67"/>
    </row>
    <row r="39" customFormat="false" ht="21.75" hidden="false" customHeight="true" outlineLevel="0" collapsed="false">
      <c r="B39" s="78" t="s">
        <v>579</v>
      </c>
      <c r="C39" s="78"/>
      <c r="D39" s="78"/>
      <c r="E39" s="78"/>
    </row>
    <row r="40" customFormat="false" ht="21.75" hidden="false" customHeight="true" outlineLevel="0" collapsed="false">
      <c r="B40" s="78" t="s">
        <v>580</v>
      </c>
      <c r="C40" s="78"/>
      <c r="D40" s="78"/>
      <c r="E40" s="78"/>
    </row>
  </sheetData>
  <mergeCells count="10">
    <mergeCell ref="B2:E2"/>
    <mergeCell ref="B5:E5"/>
    <mergeCell ref="B14:E14"/>
    <mergeCell ref="B34:E34"/>
    <mergeCell ref="B35:E35"/>
    <mergeCell ref="B36:E36"/>
    <mergeCell ref="B37:E37"/>
    <mergeCell ref="B38:E38"/>
    <mergeCell ref="B39:E39"/>
    <mergeCell ref="B40:E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2026-04-02T04:57:00Z</dcterms:created>
  <dc:creator>openpyxl</dc:creator>
  <dc:description/>
  <dc:language>en-US</dc:language>
  <cp:lastModifiedBy/>
  <dcterms:modified xsi:type="dcterms:W3CDTF">2026-04-02T05:07:48Z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